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<sst xmlns="http://schemas.openxmlformats.org/spreadsheetml/2006/main" count="228">
  <si>
    <t>2026年2月补偿分项费用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</si>
  <si>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</si>
  <si>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</si>
  <si>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</si>
  <si>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</si>
  <si>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</si>
  <si>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</si>
  <si>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</si>
  <si>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</si>
  <si>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</si>
  <si>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</si>
  <si>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</si>
  <si>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</si>
  <si>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</si>
  <si>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</si>
  <si>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</si>
  <si>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</si>
  <si>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</si>
  <si>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</si>
  <si>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</si>
  <si>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</si>
  <si>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</si>
  <si>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</si>
  <si>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</si>
  <si>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</si>
  <si>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</si>
  <si>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</si>
  <si>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</si>
  <si>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</si>
  <si>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</si>
  <si>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</si>
  <si>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</si>
  <si>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</si>
  <si>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</si>
  <si>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</si>
  <si>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</si>
  <si>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</si>
  <si>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</si>
  <si>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</si>
  <si>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</si>
  <si>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</si>
  <si>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</si>
  <si>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</si>
  <si>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</si>
  <si>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</si>
  <si>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</si>
  <si>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</si>
  <si>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</si>
  <si>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</si>
  <si>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</si>
  <si>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</si>
  <si>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</si>
  <si>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</si>
  <si>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</si>
  <si>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</si>
  <si>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</si>
  <si>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</si>
  <si>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</si>
  <si>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</si>
  <si>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</si>
  <si>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</si>
  <si>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</si>
  <si>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</si>
  <si>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</si>
  <si>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抽蓄</t>
  </si>
  <si>
    <t>宁蓄厂</t>
  </si>
  <si>
    <t>核电</t>
  </si>
  <si>
    <t>秦山厂</t>
  </si>
  <si>
    <t>三门厂</t>
  </si>
  <si>
    <t>燃机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</si>
  <si>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</si>
  <si>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</si>
  <si>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</si>
  <si>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</si>
  <si>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</si>
  <si>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</si>
  <si>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</si>
  <si>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</si>
  <si>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</si>
  <si>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</si>
  <si>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</si>
  <si>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</si>
  <si>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</si>
  <si>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</si>
  <si>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</si>
  <si>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</si>
  <si>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</si>
  <si>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</si>
  <si>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</si>
  <si>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</si>
  <si>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</si>
  <si>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婺城燃机</t>
  </si>
  <si>
    <t>220kV镇海发电厂</t>
  </si>
  <si>
    <t>光伏</t>
  </si>
  <si>
    <t>安南光伏站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</si>
  <si>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</si>
  <si>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</si>
  <si>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</si>
  <si>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</si>
  <si>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</si>
  <si>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</si>
  <si>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</si>
  <si>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</si>
  <si>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</si>
  <si>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</si>
  <si>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</si>
  <si>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</si>
  <si>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</si>
  <si>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合村光伏站</t>
  </si>
  <si>
    <t>亨泰站</t>
  </si>
  <si>
    <t>宏塔站</t>
  </si>
  <si>
    <t>华博站</t>
  </si>
  <si>
    <t>华芳光伏站</t>
  </si>
  <si>
    <t>华塘站</t>
  </si>
  <si>
    <t>华洋光伏站</t>
  </si>
  <si>
    <t>汇核站</t>
  </si>
  <si>
    <t>汇能站</t>
  </si>
  <si>
    <t>嘉厂站</t>
  </si>
  <si>
    <t>嘉达光伏站</t>
  </si>
  <si>
    <t>佳源站</t>
  </si>
  <si>
    <t>江泰站</t>
  </si>
  <si>
    <t>晶都光伏站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</si>
  <si>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</si>
  <si>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</si>
  <si>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</si>
  <si>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</si>
  <si>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</si>
  <si>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</si>
  <si>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</si>
  <si>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</si>
  <si>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</si>
  <si>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</si>
  <si>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</si>
  <si>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</si>
  <si>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</si>
  <si>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</si>
  <si>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</si>
  <si>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</si>
  <si>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</si>
  <si>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钱凌光伏站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</si>
  <si>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</si>
  <si>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</si>
  <si>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</si>
  <si>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</si>
  <si>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</si>
  <si>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</si>
  <si>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</si>
  <si>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</si>
  <si>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</si>
  <si>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</si>
  <si>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</si>
  <si>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</si>
  <si>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</si>
  <si>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</si>
  <si>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唐云光伏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</si>
  <si>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</si>
  <si>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</si>
  <si>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</si>
  <si>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</si>
  <si>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</si>
  <si>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</si>
  <si>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</si>
  <si>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</si>
  <si>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</si>
  <si>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</si>
  <si>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</si>
  <si>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</si>
  <si>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</si>
  <si>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</si>
  <si>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</si>
  <si>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</si>
  <si>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</si>
  <si>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</si>
  <si>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</si>
  <si>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</si>
  <si>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梓勋光伏站</t>
  </si>
  <si>
    <t>瓯泰站</t>
  </si>
  <si>
    <t>蛟禾站</t>
  </si>
  <si>
    <t>风电</t>
  </si>
  <si>
    <t>百花场</t>
  </si>
  <si>
    <t>苍海场</t>
  </si>
  <si>
    <t>大衢风电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</si>
  <si>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</si>
  <si>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</si>
  <si>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</si>
  <si>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</si>
  <si>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</si>
  <si>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</si>
  <si>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</si>
  <si>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</si>
  <si>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</si>
  <si>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</si>
  <si>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</si>
  <si>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</si>
  <si>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</si>
  <si>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</si>
  <si>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</si>
  <si>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</si>
  <si>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</si>
  <si>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</si>
  <si>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</si>
  <si>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</si>
  <si>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</si>
  <si>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</si>
  <si>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</si>
  <si>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</si>
  <si>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</si>
  <si>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</si>
  <si>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</si>
  <si>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</si>
  <si>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</si>
  <si>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</si>
  <si>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</si>
  <si>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</si>
  <si>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</si>
  <si>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</si>
  <si>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</si>
  <si>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</si>
  <si>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</si>
  <si>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</si>
  <si>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</si>
  <si>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</si>
  <si>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</si>
  <si>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</si>
  <si>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</si>
  <si>
    <t>虚拟电厂</t>
  </si>
  <si>
    <t>华能浙江能源聚合中心</t>
  </si>
  <si>
    <t>浙能虚拟能源聚合中心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</si>
</sst>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0" borderId="4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18" borderId="9" applyNumberFormat="0" applyAlignment="0" applyProtection="0">
      <alignment vertical="center"/>
    </xf>
    <xf numFmtId="0" fontId="19" fillId="18" borderId="3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98"/>
  <sheetViews>
    <sheetView tabSelected="1" topLeftCell="F1" workbookViewId="0">
      <selection activeCell="R4" sqref="R4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3.7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="1" customFormat="1" spans="1:18">
      <c r="A3" s="3" t="s">
        <v>16</v>
      </c>
      <c r="B3" s="3" t="s">
        <v>17</v>
      </c>
      <c r="C3" s="6" t="s">
        <v>18</v>
      </c>
      <c r="D3" s="3" t="s">
        <v>19</v>
      </c>
      <c r="E3" s="3" t="s">
        <v>20</v>
      </c>
      <c r="F3" s="3" t="s">
        <v>19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21</v>
      </c>
    </row>
    <row r="4" s="1" customFormat="1" spans="1:18">
      <c r="A4" s="3" t="s">
        <v>22</v>
      </c>
      <c r="B4" s="3" t="s">
        <v>22</v>
      </c>
      <c r="C4" s="3" t="s">
        <v>23</v>
      </c>
      <c r="D4" s="6">
        <v>257330.3922</v>
      </c>
      <c r="E4" s="6">
        <v>4795248.8962</v>
      </c>
      <c r="F4" s="6">
        <v>0</v>
      </c>
      <c r="G4" s="6">
        <v>9056916.4</v>
      </c>
      <c r="H4" s="6">
        <v>92550259.9345</v>
      </c>
      <c r="I4" s="6">
        <v>4814318.9535</v>
      </c>
      <c r="J4" s="6">
        <v>8419724.9997</v>
      </c>
      <c r="K4" s="6">
        <v>22228769.8005981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280000</v>
      </c>
      <c r="R4" s="7">
        <f>SUM(R5:R198)</f>
        <v>142402569.376698</v>
      </c>
    </row>
    <row r="5" spans="1:18">
      <c r="A5" s="3" t="s">
        <v>24</v>
      </c>
      <c r="B5" s="3" t="s">
        <v>25</v>
      </c>
      <c r="C5" s="3" t="s">
        <v>26</v>
      </c>
      <c r="D5" s="6">
        <v>9676.1389</v>
      </c>
      <c r="E5" s="6">
        <v>0</v>
      </c>
      <c r="F5" s="6">
        <v>0</v>
      </c>
      <c r="G5" s="6">
        <v>174932</v>
      </c>
      <c r="H5" s="6">
        <v>593276.248</v>
      </c>
      <c r="I5" s="6">
        <v>2927.673</v>
      </c>
      <c r="J5" s="6">
        <v>188984.4</v>
      </c>
      <c r="K5" s="6">
        <v>1067186.5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>
        <f>SUM(D5:Q5)</f>
        <v>2036982.9599</v>
      </c>
    </row>
    <row r="6" spans="1:18">
      <c r="A6" s="3" t="s">
        <v>24</v>
      </c>
      <c r="B6" s="3" t="s">
        <v>25</v>
      </c>
      <c r="C6" s="3" t="s">
        <v>27</v>
      </c>
      <c r="D6" s="6">
        <v>4743.1307</v>
      </c>
      <c r="E6" s="6">
        <v>0</v>
      </c>
      <c r="F6" s="6">
        <v>0</v>
      </c>
      <c r="G6" s="6">
        <v>66936.4</v>
      </c>
      <c r="H6" s="6">
        <v>550878.8</v>
      </c>
      <c r="I6" s="6">
        <v>1198.9005</v>
      </c>
      <c r="J6" s="6">
        <v>163012.5</v>
      </c>
      <c r="K6" s="6">
        <v>1105854.5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>
        <f t="shared" ref="R6:R44" si="0">SUM(D6:Q6)</f>
        <v>1892624.2312</v>
      </c>
    </row>
    <row r="7" spans="1:18">
      <c r="A7" s="3" t="s">
        <v>24</v>
      </c>
      <c r="B7" s="3" t="s">
        <v>25</v>
      </c>
      <c r="C7" s="3" t="s">
        <v>28</v>
      </c>
      <c r="D7" s="6">
        <v>20869.9225</v>
      </c>
      <c r="E7" s="6">
        <v>0</v>
      </c>
      <c r="F7" s="6">
        <v>0</v>
      </c>
      <c r="G7" s="6">
        <v>638135.2</v>
      </c>
      <c r="H7" s="6">
        <v>1754387.99</v>
      </c>
      <c r="I7" s="6">
        <v>2314.8225</v>
      </c>
      <c r="J7" s="6">
        <v>267519</v>
      </c>
      <c r="K7" s="6">
        <v>924033.5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f t="shared" si="0"/>
        <v>3607260.435</v>
      </c>
    </row>
    <row r="8" spans="1:18">
      <c r="A8" s="3" t="s">
        <v>24</v>
      </c>
      <c r="B8" s="3" t="s">
        <v>25</v>
      </c>
      <c r="C8" s="3" t="s">
        <v>29</v>
      </c>
      <c r="D8" s="6">
        <v>3008.2171</v>
      </c>
      <c r="E8" s="6">
        <v>0</v>
      </c>
      <c r="F8" s="6">
        <v>0</v>
      </c>
      <c r="G8" s="6">
        <v>40190.4</v>
      </c>
      <c r="H8" s="6">
        <v>2465399.27</v>
      </c>
      <c r="I8" s="6">
        <v>734.1705</v>
      </c>
      <c r="J8" s="6">
        <v>141625</v>
      </c>
      <c r="K8" s="6">
        <v>166048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>
        <f t="shared" si="0"/>
        <v>2817005.0576</v>
      </c>
    </row>
    <row r="9" spans="1:18">
      <c r="A9" s="3" t="s">
        <v>24</v>
      </c>
      <c r="B9" s="3" t="s">
        <v>25</v>
      </c>
      <c r="C9" s="3" t="s">
        <v>30</v>
      </c>
      <c r="D9" s="6">
        <v>13154.6598</v>
      </c>
      <c r="E9" s="6">
        <v>0</v>
      </c>
      <c r="F9" s="6">
        <v>0</v>
      </c>
      <c r="G9" s="6">
        <v>272747.2</v>
      </c>
      <c r="H9" s="6">
        <v>685023.11</v>
      </c>
      <c r="I9" s="6">
        <v>3652.8105</v>
      </c>
      <c r="J9" s="6">
        <v>275540</v>
      </c>
      <c r="K9" s="6">
        <v>720663.5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>
        <f t="shared" si="0"/>
        <v>1970781.2803</v>
      </c>
    </row>
    <row r="10" spans="1:18">
      <c r="A10" s="3" t="s">
        <v>24</v>
      </c>
      <c r="B10" s="3" t="s">
        <v>25</v>
      </c>
      <c r="C10" s="3" t="s">
        <v>31</v>
      </c>
      <c r="D10" s="6">
        <v>3223.2918</v>
      </c>
      <c r="E10" s="6">
        <v>0</v>
      </c>
      <c r="F10" s="6">
        <v>0</v>
      </c>
      <c r="G10" s="6">
        <v>194189.2</v>
      </c>
      <c r="H10" s="6">
        <v>65797.38</v>
      </c>
      <c r="I10" s="6">
        <v>5114.0265</v>
      </c>
      <c r="J10" s="6">
        <v>198827.9</v>
      </c>
      <c r="K10" s="6">
        <v>798947.5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>
        <f t="shared" si="0"/>
        <v>1266099.2983</v>
      </c>
    </row>
    <row r="11" spans="1:18">
      <c r="A11" s="3" t="s">
        <v>24</v>
      </c>
      <c r="B11" s="3" t="s">
        <v>25</v>
      </c>
      <c r="C11" s="3" t="s">
        <v>32</v>
      </c>
      <c r="D11" s="6">
        <v>808.6693</v>
      </c>
      <c r="E11" s="6">
        <v>0</v>
      </c>
      <c r="F11" s="6">
        <v>0</v>
      </c>
      <c r="G11" s="6">
        <v>59427.6</v>
      </c>
      <c r="H11" s="6">
        <v>0</v>
      </c>
      <c r="I11" s="6">
        <v>13809.5355</v>
      </c>
      <c r="J11" s="6">
        <v>52389.705</v>
      </c>
      <c r="K11" s="6">
        <v>202807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>
        <f t="shared" si="0"/>
        <v>329242.5098</v>
      </c>
    </row>
    <row r="12" spans="1:18">
      <c r="A12" s="3" t="s">
        <v>24</v>
      </c>
      <c r="B12" s="3" t="s">
        <v>25</v>
      </c>
      <c r="C12" s="3" t="s">
        <v>33</v>
      </c>
      <c r="D12" s="6">
        <v>8630.602</v>
      </c>
      <c r="E12" s="6">
        <v>0</v>
      </c>
      <c r="F12" s="6">
        <v>0</v>
      </c>
      <c r="G12" s="6">
        <v>228172</v>
      </c>
      <c r="H12" s="6">
        <v>1307190.145</v>
      </c>
      <c r="I12" s="6">
        <v>33728.9295</v>
      </c>
      <c r="J12" s="6">
        <v>222583.35</v>
      </c>
      <c r="K12" s="6">
        <v>613692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f t="shared" si="0"/>
        <v>2413997.0265</v>
      </c>
    </row>
    <row r="13" spans="1:18">
      <c r="A13" s="3" t="s">
        <v>24</v>
      </c>
      <c r="B13" s="3" t="s">
        <v>25</v>
      </c>
      <c r="C13" s="3" t="s">
        <v>34</v>
      </c>
      <c r="D13" s="6">
        <v>4060.9721</v>
      </c>
      <c r="E13" s="6">
        <v>0</v>
      </c>
      <c r="F13" s="6">
        <v>0</v>
      </c>
      <c r="G13" s="6">
        <v>116005.2</v>
      </c>
      <c r="H13" s="6">
        <v>508714.752</v>
      </c>
      <c r="I13" s="6">
        <v>12573.2595</v>
      </c>
      <c r="J13" s="6">
        <v>28772.7</v>
      </c>
      <c r="K13" s="6">
        <v>351332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f t="shared" si="0"/>
        <v>1021458.8836</v>
      </c>
    </row>
    <row r="14" spans="1:18">
      <c r="A14" s="3" t="s">
        <v>24</v>
      </c>
      <c r="B14" s="3" t="s">
        <v>25</v>
      </c>
      <c r="C14" s="3" t="s">
        <v>35</v>
      </c>
      <c r="D14" s="6">
        <v>2190.2086</v>
      </c>
      <c r="E14" s="6">
        <v>0</v>
      </c>
      <c r="F14" s="6">
        <v>0</v>
      </c>
      <c r="G14" s="6">
        <v>0</v>
      </c>
      <c r="H14" s="6">
        <v>1632000</v>
      </c>
      <c r="I14" s="6">
        <v>545.55</v>
      </c>
      <c r="J14" s="6">
        <v>117050</v>
      </c>
      <c r="K14" s="6">
        <v>140044.5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>
        <f t="shared" si="0"/>
        <v>1891830.2586</v>
      </c>
    </row>
    <row r="15" spans="1:18">
      <c r="A15" s="3" t="s">
        <v>24</v>
      </c>
      <c r="B15" s="3" t="s">
        <v>25</v>
      </c>
      <c r="C15" s="3" t="s">
        <v>36</v>
      </c>
      <c r="D15" s="6">
        <v>29349.3257</v>
      </c>
      <c r="E15" s="6">
        <v>0</v>
      </c>
      <c r="F15" s="6">
        <v>0</v>
      </c>
      <c r="G15" s="6">
        <v>974045.2</v>
      </c>
      <c r="H15" s="6">
        <v>4323423.63</v>
      </c>
      <c r="I15" s="6">
        <v>90606.0615</v>
      </c>
      <c r="J15" s="6">
        <v>740265.7</v>
      </c>
      <c r="K15" s="6">
        <v>2927717.5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>
        <f t="shared" si="0"/>
        <v>9085407.4172</v>
      </c>
    </row>
    <row r="16" spans="1:18">
      <c r="A16" s="3" t="s">
        <v>24</v>
      </c>
      <c r="B16" s="3" t="s">
        <v>25</v>
      </c>
      <c r="C16" s="3" t="s">
        <v>37</v>
      </c>
      <c r="D16" s="6">
        <v>3622.9718</v>
      </c>
      <c r="E16" s="6">
        <v>0</v>
      </c>
      <c r="F16" s="6">
        <v>0</v>
      </c>
      <c r="G16" s="6">
        <v>130929.6</v>
      </c>
      <c r="H16" s="6">
        <v>371462.896</v>
      </c>
      <c r="I16" s="6">
        <v>32764.2675</v>
      </c>
      <c r="J16" s="6">
        <v>115203</v>
      </c>
      <c r="K16" s="6">
        <v>273605.5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>
        <f t="shared" si="0"/>
        <v>927588.2353</v>
      </c>
    </row>
    <row r="17" spans="1:18">
      <c r="A17" s="3" t="s">
        <v>24</v>
      </c>
      <c r="B17" s="3" t="s">
        <v>25</v>
      </c>
      <c r="C17" s="3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242573.9835</v>
      </c>
      <c r="J17" s="6">
        <v>0</v>
      </c>
      <c r="K17" s="6">
        <v>110504.5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>
        <f t="shared" si="0"/>
        <v>353078.4835</v>
      </c>
    </row>
    <row r="18" spans="1:18">
      <c r="A18" s="3" t="s">
        <v>24</v>
      </c>
      <c r="B18" s="3" t="s">
        <v>25</v>
      </c>
      <c r="C18" s="3" t="s">
        <v>39</v>
      </c>
      <c r="D18" s="6">
        <v>16726.0494</v>
      </c>
      <c r="E18" s="6">
        <v>0</v>
      </c>
      <c r="F18" s="6">
        <v>0</v>
      </c>
      <c r="G18" s="6">
        <v>906263.2</v>
      </c>
      <c r="H18" s="6">
        <v>3149205.25</v>
      </c>
      <c r="I18" s="6">
        <v>14395.9545</v>
      </c>
      <c r="J18" s="6">
        <v>405761.4</v>
      </c>
      <c r="K18" s="6">
        <v>1064440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>
        <f t="shared" si="0"/>
        <v>5556791.8539</v>
      </c>
    </row>
    <row r="19" spans="1:18">
      <c r="A19" s="3" t="s">
        <v>24</v>
      </c>
      <c r="B19" s="3" t="s">
        <v>25</v>
      </c>
      <c r="C19" s="3" t="s">
        <v>40</v>
      </c>
      <c r="D19" s="6">
        <v>7100.1936</v>
      </c>
      <c r="E19" s="6">
        <v>0</v>
      </c>
      <c r="F19" s="6">
        <v>0</v>
      </c>
      <c r="G19" s="6">
        <v>216807.6</v>
      </c>
      <c r="H19" s="6">
        <v>375483.37</v>
      </c>
      <c r="I19" s="6">
        <v>12302.307</v>
      </c>
      <c r="J19" s="6">
        <v>168172.725</v>
      </c>
      <c r="K19" s="6">
        <v>290172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7">
        <f t="shared" si="0"/>
        <v>1070038.1956</v>
      </c>
    </row>
    <row r="20" spans="1:18">
      <c r="A20" s="3" t="s">
        <v>24</v>
      </c>
      <c r="B20" s="3" t="s">
        <v>25</v>
      </c>
      <c r="C20" s="3" t="s">
        <v>41</v>
      </c>
      <c r="D20" s="6">
        <v>1466.4728</v>
      </c>
      <c r="E20" s="6">
        <v>0</v>
      </c>
      <c r="F20" s="6">
        <v>0</v>
      </c>
      <c r="G20" s="6">
        <v>54120.8</v>
      </c>
      <c r="H20" s="6">
        <v>535386.014</v>
      </c>
      <c r="I20" s="6">
        <v>6144.189</v>
      </c>
      <c r="J20" s="6">
        <v>135280.2</v>
      </c>
      <c r="K20" s="6">
        <v>221488.5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f t="shared" si="0"/>
        <v>953886.1758</v>
      </c>
    </row>
    <row r="21" spans="1:18">
      <c r="A21" s="3" t="s">
        <v>24</v>
      </c>
      <c r="B21" s="3" t="s">
        <v>25</v>
      </c>
      <c r="C21" s="3" t="s">
        <v>42</v>
      </c>
      <c r="D21" s="6">
        <v>13358.6562</v>
      </c>
      <c r="E21" s="6">
        <v>0</v>
      </c>
      <c r="F21" s="6">
        <v>0</v>
      </c>
      <c r="G21" s="6">
        <v>320583.2</v>
      </c>
      <c r="H21" s="6">
        <v>3266907.66</v>
      </c>
      <c r="I21" s="6">
        <v>50380.8285</v>
      </c>
      <c r="J21" s="6">
        <v>393138.9</v>
      </c>
      <c r="K21" s="6">
        <v>971065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7">
        <f t="shared" si="0"/>
        <v>5015434.2447</v>
      </c>
    </row>
    <row r="22" spans="1:18">
      <c r="A22" s="3" t="s">
        <v>24</v>
      </c>
      <c r="B22" s="3" t="s">
        <v>25</v>
      </c>
      <c r="C22" s="3" t="s">
        <v>43</v>
      </c>
      <c r="D22" s="6">
        <v>9608.8254</v>
      </c>
      <c r="E22" s="6">
        <v>0</v>
      </c>
      <c r="F22" s="6">
        <v>0</v>
      </c>
      <c r="G22" s="6">
        <v>271517.6</v>
      </c>
      <c r="H22" s="6">
        <v>3998434.96</v>
      </c>
      <c r="I22" s="6">
        <v>22286.3685</v>
      </c>
      <c r="J22" s="6">
        <v>423640.95</v>
      </c>
      <c r="K22" s="6">
        <v>1300536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7">
        <f t="shared" si="0"/>
        <v>6026024.7039</v>
      </c>
    </row>
    <row r="23" spans="1:18">
      <c r="A23" s="3" t="s">
        <v>24</v>
      </c>
      <c r="B23" s="3" t="s">
        <v>25</v>
      </c>
      <c r="C23" s="3" t="s">
        <v>44</v>
      </c>
      <c r="D23" s="6">
        <v>16974.9419</v>
      </c>
      <c r="E23" s="6">
        <v>0</v>
      </c>
      <c r="F23" s="6">
        <v>0</v>
      </c>
      <c r="G23" s="6">
        <v>329160.8</v>
      </c>
      <c r="H23" s="6">
        <v>2804908.93</v>
      </c>
      <c r="I23" s="6">
        <v>2227.4685</v>
      </c>
      <c r="J23" s="6">
        <v>265209</v>
      </c>
      <c r="K23" s="6">
        <v>656530.5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f t="shared" si="0"/>
        <v>4075011.6404</v>
      </c>
    </row>
    <row r="24" spans="1:18">
      <c r="A24" s="3" t="s">
        <v>24</v>
      </c>
      <c r="B24" s="3" t="s">
        <v>25</v>
      </c>
      <c r="C24" s="3" t="s">
        <v>45</v>
      </c>
      <c r="D24" s="6">
        <v>13539.9047</v>
      </c>
      <c r="E24" s="6">
        <v>0</v>
      </c>
      <c r="F24" s="6">
        <v>0</v>
      </c>
      <c r="G24" s="6">
        <v>241450</v>
      </c>
      <c r="H24" s="6">
        <v>3194740.53</v>
      </c>
      <c r="I24" s="6">
        <v>105625.2915</v>
      </c>
      <c r="J24" s="6">
        <v>316023.75</v>
      </c>
      <c r="K24" s="6">
        <v>499408.5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7">
        <f t="shared" si="0"/>
        <v>4370787.9762</v>
      </c>
    </row>
    <row r="25" spans="1:18">
      <c r="A25" s="3" t="s">
        <v>24</v>
      </c>
      <c r="B25" s="3" t="s">
        <v>25</v>
      </c>
      <c r="C25" s="3" t="s">
        <v>46</v>
      </c>
      <c r="D25" s="6">
        <v>7223.8194</v>
      </c>
      <c r="E25" s="6">
        <v>0</v>
      </c>
      <c r="F25" s="6">
        <v>0</v>
      </c>
      <c r="G25" s="6">
        <v>268849.6</v>
      </c>
      <c r="H25" s="6">
        <v>1725140.74</v>
      </c>
      <c r="I25" s="6">
        <v>47.8455</v>
      </c>
      <c r="J25" s="6">
        <v>298274.875</v>
      </c>
      <c r="K25" s="6">
        <v>396351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f t="shared" si="0"/>
        <v>2695887.8799</v>
      </c>
    </row>
    <row r="26" spans="1:18">
      <c r="A26" s="3" t="s">
        <v>24</v>
      </c>
      <c r="B26" s="3" t="s">
        <v>25</v>
      </c>
      <c r="C26" s="3" t="s">
        <v>47</v>
      </c>
      <c r="D26" s="6">
        <v>487.018</v>
      </c>
      <c r="E26" s="6">
        <v>0</v>
      </c>
      <c r="F26" s="6">
        <v>0</v>
      </c>
      <c r="G26" s="6">
        <v>0</v>
      </c>
      <c r="H26" s="6">
        <v>18416.4</v>
      </c>
      <c r="I26" s="6">
        <v>13.17</v>
      </c>
      <c r="J26" s="6">
        <v>0</v>
      </c>
      <c r="K26" s="6">
        <v>315451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f t="shared" si="0"/>
        <v>334367.588</v>
      </c>
    </row>
    <row r="27" spans="1:18">
      <c r="A27" s="3" t="s">
        <v>24</v>
      </c>
      <c r="B27" s="3" t="s">
        <v>25</v>
      </c>
      <c r="C27" s="3" t="s">
        <v>48</v>
      </c>
      <c r="D27" s="6">
        <v>5450.3429</v>
      </c>
      <c r="E27" s="6">
        <v>0</v>
      </c>
      <c r="F27" s="6">
        <v>0</v>
      </c>
      <c r="G27" s="6">
        <v>189640</v>
      </c>
      <c r="H27" s="6">
        <v>1917690.8</v>
      </c>
      <c r="I27" s="6">
        <v>3505.3605</v>
      </c>
      <c r="J27" s="6">
        <v>238604.85</v>
      </c>
      <c r="K27" s="6">
        <v>575898.5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7">
        <f t="shared" si="0"/>
        <v>2930789.8534</v>
      </c>
    </row>
    <row r="28" spans="1:18">
      <c r="A28" s="3" t="s">
        <v>24</v>
      </c>
      <c r="B28" s="3" t="s">
        <v>25</v>
      </c>
      <c r="C28" s="3" t="s">
        <v>49</v>
      </c>
      <c r="D28" s="6">
        <v>3125.079</v>
      </c>
      <c r="E28" s="6">
        <v>0</v>
      </c>
      <c r="F28" s="6">
        <v>0</v>
      </c>
      <c r="G28" s="6">
        <v>70404.4</v>
      </c>
      <c r="H28" s="6">
        <v>932280.076</v>
      </c>
      <c r="I28" s="6">
        <v>5549.9445</v>
      </c>
      <c r="J28" s="6">
        <v>123004.2</v>
      </c>
      <c r="K28" s="6">
        <v>420709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7">
        <f t="shared" si="0"/>
        <v>1555072.6995</v>
      </c>
    </row>
    <row r="29" spans="1:18">
      <c r="A29" s="3" t="s">
        <v>24</v>
      </c>
      <c r="B29" s="3" t="s">
        <v>25</v>
      </c>
      <c r="C29" s="3" t="s">
        <v>50</v>
      </c>
      <c r="D29" s="6">
        <v>2247.4849</v>
      </c>
      <c r="E29" s="6">
        <v>0</v>
      </c>
      <c r="F29" s="6">
        <v>0</v>
      </c>
      <c r="G29" s="6">
        <v>151928.8</v>
      </c>
      <c r="H29" s="6">
        <v>1205920</v>
      </c>
      <c r="I29" s="6">
        <v>19290.525</v>
      </c>
      <c r="J29" s="6">
        <v>122542.2</v>
      </c>
      <c r="K29" s="6">
        <v>973039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7">
        <f t="shared" si="0"/>
        <v>2474968.0099</v>
      </c>
    </row>
    <row r="30" spans="1:18">
      <c r="A30" s="3" t="s">
        <v>24</v>
      </c>
      <c r="B30" s="3" t="s">
        <v>25</v>
      </c>
      <c r="C30" s="3" t="s">
        <v>51</v>
      </c>
      <c r="D30" s="6">
        <v>2727.531</v>
      </c>
      <c r="E30" s="6">
        <v>0</v>
      </c>
      <c r="F30" s="6">
        <v>0</v>
      </c>
      <c r="G30" s="6">
        <v>67644</v>
      </c>
      <c r="H30" s="6">
        <v>471280</v>
      </c>
      <c r="I30" s="6">
        <v>2277.225</v>
      </c>
      <c r="J30" s="6">
        <v>92215.2</v>
      </c>
      <c r="K30" s="6">
        <v>226608.5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7">
        <f t="shared" si="0"/>
        <v>862752.456</v>
      </c>
    </row>
    <row r="31" spans="1:18">
      <c r="A31" s="3" t="s">
        <v>24</v>
      </c>
      <c r="B31" s="3" t="s">
        <v>25</v>
      </c>
      <c r="C31" s="3" t="s">
        <v>52</v>
      </c>
      <c r="D31" s="6">
        <v>6708.4892</v>
      </c>
      <c r="E31" s="6">
        <v>0</v>
      </c>
      <c r="F31" s="6">
        <v>0</v>
      </c>
      <c r="G31" s="6">
        <v>244996.8</v>
      </c>
      <c r="H31" s="6">
        <v>1978995.43</v>
      </c>
      <c r="I31" s="6">
        <v>31059.1335</v>
      </c>
      <c r="J31" s="6">
        <v>277615</v>
      </c>
      <c r="K31" s="6">
        <v>2124212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7">
        <f t="shared" si="0"/>
        <v>4663586.8527</v>
      </c>
    </row>
    <row r="32" spans="1:18">
      <c r="A32" s="3" t="s">
        <v>24</v>
      </c>
      <c r="B32" s="3" t="s">
        <v>25</v>
      </c>
      <c r="C32" s="3" t="s">
        <v>53</v>
      </c>
      <c r="D32" s="6">
        <v>17854.2733</v>
      </c>
      <c r="E32" s="6">
        <v>0</v>
      </c>
      <c r="F32" s="6">
        <v>0</v>
      </c>
      <c r="G32" s="6">
        <v>478619.6</v>
      </c>
      <c r="H32" s="6">
        <v>1582942.212</v>
      </c>
      <c r="I32" s="6">
        <v>3289.9395</v>
      </c>
      <c r="J32" s="6">
        <v>493178.2</v>
      </c>
      <c r="K32" s="6">
        <v>800632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7">
        <f t="shared" si="0"/>
        <v>3376516.2248</v>
      </c>
    </row>
    <row r="33" spans="1:18">
      <c r="A33" s="3" t="s">
        <v>24</v>
      </c>
      <c r="B33" s="3" t="s">
        <v>25</v>
      </c>
      <c r="C33" s="3" t="s">
        <v>54</v>
      </c>
      <c r="D33" s="6">
        <v>6309.7909</v>
      </c>
      <c r="E33" s="6">
        <v>0</v>
      </c>
      <c r="F33" s="6">
        <v>0</v>
      </c>
      <c r="G33" s="6">
        <v>153844.4</v>
      </c>
      <c r="H33" s="6">
        <v>736230.147</v>
      </c>
      <c r="I33" s="6">
        <v>100619.3115</v>
      </c>
      <c r="J33" s="6">
        <v>169217.4</v>
      </c>
      <c r="K33" s="6">
        <v>558229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7">
        <f t="shared" si="0"/>
        <v>1724450.0494</v>
      </c>
    </row>
    <row r="34" spans="1:18">
      <c r="A34" s="3" t="s">
        <v>24</v>
      </c>
      <c r="B34" s="3" t="s">
        <v>55</v>
      </c>
      <c r="C34" s="3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3.198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7">
        <f t="shared" si="0"/>
        <v>3.198</v>
      </c>
    </row>
    <row r="35" spans="1:18">
      <c r="A35" s="3" t="s">
        <v>24</v>
      </c>
      <c r="B35" s="3" t="s">
        <v>55</v>
      </c>
      <c r="C35" s="3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4089.384</v>
      </c>
      <c r="I35" s="6">
        <v>1.704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7">
        <f t="shared" si="0"/>
        <v>4091.088</v>
      </c>
    </row>
    <row r="36" spans="1:18">
      <c r="A36" s="3" t="s">
        <v>24</v>
      </c>
      <c r="B36" s="3" t="s">
        <v>55</v>
      </c>
      <c r="C36" s="3" t="s">
        <v>58</v>
      </c>
      <c r="D36" s="6">
        <v>10.1212</v>
      </c>
      <c r="E36" s="6">
        <v>0</v>
      </c>
      <c r="F36" s="6">
        <v>0</v>
      </c>
      <c r="G36" s="6">
        <v>9378</v>
      </c>
      <c r="H36" s="6">
        <v>10482.507</v>
      </c>
      <c r="I36" s="6">
        <v>1.191</v>
      </c>
      <c r="J36" s="6">
        <v>0</v>
      </c>
      <c r="K36" s="6">
        <v>3956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40000</v>
      </c>
      <c r="R36" s="7">
        <f t="shared" si="0"/>
        <v>63827.8192</v>
      </c>
    </row>
    <row r="37" spans="1:18">
      <c r="A37" s="3" t="s">
        <v>24</v>
      </c>
      <c r="B37" s="3" t="s">
        <v>55</v>
      </c>
      <c r="C37" s="3" t="s">
        <v>59</v>
      </c>
      <c r="D37" s="6">
        <v>25.6607</v>
      </c>
      <c r="E37" s="6">
        <v>0</v>
      </c>
      <c r="F37" s="6">
        <v>0</v>
      </c>
      <c r="G37" s="6">
        <v>59255.2</v>
      </c>
      <c r="H37" s="6">
        <v>95357.6</v>
      </c>
      <c r="I37" s="6">
        <v>724.6095</v>
      </c>
      <c r="J37" s="6">
        <v>6501.75</v>
      </c>
      <c r="K37" s="6">
        <v>12877.5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7">
        <f t="shared" si="0"/>
        <v>214742.3202</v>
      </c>
    </row>
    <row r="38" spans="1:18">
      <c r="A38" s="3" t="s">
        <v>24</v>
      </c>
      <c r="B38" s="3" t="s">
        <v>55</v>
      </c>
      <c r="C38" s="3" t="s">
        <v>60</v>
      </c>
      <c r="D38" s="6">
        <v>5.5079</v>
      </c>
      <c r="E38" s="6">
        <v>0</v>
      </c>
      <c r="F38" s="6">
        <v>0</v>
      </c>
      <c r="G38" s="6">
        <v>0</v>
      </c>
      <c r="H38" s="6">
        <v>7046.2535</v>
      </c>
      <c r="I38" s="6">
        <v>365.556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7">
        <f t="shared" si="0"/>
        <v>47417.3174</v>
      </c>
    </row>
    <row r="39" spans="1:18">
      <c r="A39" s="3" t="s">
        <v>24</v>
      </c>
      <c r="B39" s="3" t="s">
        <v>55</v>
      </c>
      <c r="C39" s="3" t="s">
        <v>61</v>
      </c>
      <c r="D39" s="6">
        <v>96.0067</v>
      </c>
      <c r="E39" s="6">
        <v>0</v>
      </c>
      <c r="F39" s="6">
        <v>0</v>
      </c>
      <c r="G39" s="6">
        <v>512269.2</v>
      </c>
      <c r="H39" s="6">
        <v>330079.8</v>
      </c>
      <c r="I39" s="6">
        <v>803.109</v>
      </c>
      <c r="J39" s="6">
        <v>20769</v>
      </c>
      <c r="K39" s="6">
        <v>94655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7">
        <f t="shared" si="0"/>
        <v>998672.1157</v>
      </c>
    </row>
    <row r="40" spans="1:18">
      <c r="A40" s="3" t="s">
        <v>24</v>
      </c>
      <c r="B40" s="3" t="s">
        <v>55</v>
      </c>
      <c r="C40" s="3" t="s">
        <v>62</v>
      </c>
      <c r="D40" s="6">
        <v>27.3162</v>
      </c>
      <c r="E40" s="6">
        <v>0</v>
      </c>
      <c r="F40" s="6">
        <v>0</v>
      </c>
      <c r="G40" s="6">
        <v>157299.6</v>
      </c>
      <c r="H40" s="6">
        <v>125873.46</v>
      </c>
      <c r="I40" s="6">
        <v>216.4485</v>
      </c>
      <c r="J40" s="6">
        <v>5346.95</v>
      </c>
      <c r="K40" s="6">
        <v>38671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40000</v>
      </c>
      <c r="R40" s="7">
        <f t="shared" si="0"/>
        <v>367434.7747</v>
      </c>
    </row>
    <row r="41" spans="1:18">
      <c r="A41" s="3" t="s">
        <v>24</v>
      </c>
      <c r="B41" s="3" t="s">
        <v>55</v>
      </c>
      <c r="C41" s="3" t="s">
        <v>63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7">
        <f t="shared" si="0"/>
        <v>0</v>
      </c>
    </row>
    <row r="42" spans="1:18">
      <c r="A42" s="3" t="s">
        <v>24</v>
      </c>
      <c r="B42" s="3" t="s">
        <v>64</v>
      </c>
      <c r="C42" s="3" t="s">
        <v>65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580.206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80000</v>
      </c>
      <c r="R42" s="7">
        <f t="shared" si="0"/>
        <v>80580.206</v>
      </c>
    </row>
    <row r="43" spans="1:18">
      <c r="A43" s="3" t="s">
        <v>24</v>
      </c>
      <c r="B43" s="3" t="s">
        <v>66</v>
      </c>
      <c r="C43" s="3" t="s">
        <v>67</v>
      </c>
      <c r="D43" s="6">
        <v>0</v>
      </c>
      <c r="E43" s="6">
        <v>0</v>
      </c>
      <c r="F43" s="6">
        <v>0</v>
      </c>
      <c r="G43" s="6">
        <v>0</v>
      </c>
      <c r="H43" s="6">
        <v>3169258.07</v>
      </c>
      <c r="I43" s="6">
        <v>0</v>
      </c>
      <c r="J43" s="6">
        <v>0</v>
      </c>
      <c r="K43" s="6">
        <v>104554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7">
        <f t="shared" si="0"/>
        <v>3273812.07</v>
      </c>
    </row>
    <row r="44" spans="1:18">
      <c r="A44" s="3" t="s">
        <v>24</v>
      </c>
      <c r="B44" s="3" t="s">
        <v>66</v>
      </c>
      <c r="C44" s="3" t="s">
        <v>68</v>
      </c>
      <c r="D44" s="6">
        <v>0.1591</v>
      </c>
      <c r="E44" s="6">
        <v>0</v>
      </c>
      <c r="F44" s="6">
        <v>0</v>
      </c>
      <c r="G44" s="6">
        <v>0</v>
      </c>
      <c r="H44" s="6">
        <v>34374009.12</v>
      </c>
      <c r="I44" s="6">
        <v>2250.1995</v>
      </c>
      <c r="J44" s="6">
        <v>0</v>
      </c>
      <c r="K44" s="6">
        <v>320541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7">
        <f t="shared" si="0"/>
        <v>34696800.4786</v>
      </c>
    </row>
    <row r="45" spans="1:18">
      <c r="A45" s="3" t="s">
        <v>24</v>
      </c>
      <c r="B45" s="3" t="s">
        <v>69</v>
      </c>
      <c r="C45" s="3" t="s">
        <v>70</v>
      </c>
      <c r="D45" s="6">
        <v>4915.2487</v>
      </c>
      <c r="E45" s="6">
        <v>581088.9131</v>
      </c>
      <c r="F45" s="6">
        <v>0</v>
      </c>
      <c r="G45" s="6">
        <v>156079.6</v>
      </c>
      <c r="H45" s="6">
        <v>1685500</v>
      </c>
      <c r="I45" s="6">
        <v>3356.6745</v>
      </c>
      <c r="J45" s="6">
        <v>100281.675</v>
      </c>
      <c r="K45" s="6">
        <v>49785.5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7">
        <f t="shared" ref="R45:R70" si="1">SUM(D45:Q45)</f>
        <v>2581007.6113</v>
      </c>
    </row>
    <row r="46" spans="1:18">
      <c r="A46" s="3" t="s">
        <v>24</v>
      </c>
      <c r="B46" s="3" t="s">
        <v>69</v>
      </c>
      <c r="C46" s="3" t="s">
        <v>71</v>
      </c>
      <c r="D46" s="6">
        <v>1985.0942</v>
      </c>
      <c r="E46" s="6">
        <v>312429.8603</v>
      </c>
      <c r="F46" s="6">
        <v>0</v>
      </c>
      <c r="G46" s="6">
        <v>52119.6</v>
      </c>
      <c r="H46" s="6">
        <v>778600</v>
      </c>
      <c r="I46" s="6">
        <v>216.7665</v>
      </c>
      <c r="J46" s="6">
        <v>53354.71</v>
      </c>
      <c r="K46" s="6">
        <v>20620.30078125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7">
        <f t="shared" si="1"/>
        <v>1219326.33178125</v>
      </c>
    </row>
    <row r="47" spans="1:18">
      <c r="A47" s="3" t="s">
        <v>24</v>
      </c>
      <c r="B47" s="3" t="s">
        <v>69</v>
      </c>
      <c r="C47" s="3" t="s">
        <v>72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268300.59375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7">
        <f t="shared" si="1"/>
        <v>268300.59375</v>
      </c>
    </row>
    <row r="48" spans="1:18">
      <c r="A48" s="3" t="s">
        <v>24</v>
      </c>
      <c r="B48" s="3" t="s">
        <v>69</v>
      </c>
      <c r="C48" s="3" t="s">
        <v>73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606.111</v>
      </c>
      <c r="J48" s="6">
        <v>0</v>
      </c>
      <c r="K48" s="6">
        <v>19773.900390625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f t="shared" si="1"/>
        <v>20380.011390625</v>
      </c>
    </row>
    <row r="49" spans="1:18">
      <c r="A49" s="3" t="s">
        <v>24</v>
      </c>
      <c r="B49" s="3" t="s">
        <v>69</v>
      </c>
      <c r="C49" s="3" t="s">
        <v>74</v>
      </c>
      <c r="D49" s="6">
        <v>1385.7779</v>
      </c>
      <c r="E49" s="6">
        <v>308432.6508</v>
      </c>
      <c r="F49" s="6">
        <v>0</v>
      </c>
      <c r="G49" s="6">
        <v>81226.4</v>
      </c>
      <c r="H49" s="6">
        <v>1447200</v>
      </c>
      <c r="I49" s="6">
        <v>1973.8425</v>
      </c>
      <c r="J49" s="6">
        <v>81353.44</v>
      </c>
      <c r="K49" s="6">
        <v>103512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7">
        <f t="shared" si="1"/>
        <v>2025084.1112</v>
      </c>
    </row>
    <row r="50" spans="1:18">
      <c r="A50" s="3" t="s">
        <v>24</v>
      </c>
      <c r="B50" s="3" t="s">
        <v>69</v>
      </c>
      <c r="C50" s="3" t="s">
        <v>75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28.8675</v>
      </c>
      <c r="J50" s="6">
        <v>0</v>
      </c>
      <c r="K50" s="6">
        <v>18448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f t="shared" si="1"/>
        <v>18476.8675</v>
      </c>
    </row>
    <row r="51" spans="1:18">
      <c r="A51" s="3" t="s">
        <v>24</v>
      </c>
      <c r="B51" s="3" t="s">
        <v>69</v>
      </c>
      <c r="C51" s="3" t="s">
        <v>76</v>
      </c>
      <c r="D51" s="6">
        <v>2892.8884</v>
      </c>
      <c r="E51" s="6">
        <v>255400.2107</v>
      </c>
      <c r="F51" s="6">
        <v>0</v>
      </c>
      <c r="G51" s="6">
        <v>119716</v>
      </c>
      <c r="H51" s="6">
        <v>1584825</v>
      </c>
      <c r="I51" s="6">
        <v>4657.965</v>
      </c>
      <c r="J51" s="6">
        <v>89254.4625</v>
      </c>
      <c r="K51" s="6">
        <v>40392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7">
        <f t="shared" si="1"/>
        <v>2097138.5266</v>
      </c>
    </row>
    <row r="52" spans="1:18">
      <c r="A52" s="3" t="s">
        <v>24</v>
      </c>
      <c r="B52" s="3" t="s">
        <v>69</v>
      </c>
      <c r="C52" s="3" t="s">
        <v>77</v>
      </c>
      <c r="D52" s="6">
        <v>23.2319</v>
      </c>
      <c r="E52" s="6">
        <v>55852.0071</v>
      </c>
      <c r="F52" s="6">
        <v>0</v>
      </c>
      <c r="G52" s="6">
        <v>0</v>
      </c>
      <c r="H52" s="6">
        <v>147300</v>
      </c>
      <c r="I52" s="6">
        <v>0</v>
      </c>
      <c r="J52" s="6">
        <v>5921.46</v>
      </c>
      <c r="K52" s="6">
        <v>984.200012207031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f t="shared" si="1"/>
        <v>210080.899012207</v>
      </c>
    </row>
    <row r="53" spans="1:18">
      <c r="A53" s="3" t="s">
        <v>24</v>
      </c>
      <c r="B53" s="3" t="s">
        <v>69</v>
      </c>
      <c r="C53" s="3" t="s">
        <v>78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7">
        <f t="shared" si="1"/>
        <v>0</v>
      </c>
    </row>
    <row r="54" spans="1:18">
      <c r="A54" s="3" t="s">
        <v>24</v>
      </c>
      <c r="B54" s="3" t="s">
        <v>69</v>
      </c>
      <c r="C54" s="3" t="s">
        <v>79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f t="shared" si="1"/>
        <v>0</v>
      </c>
    </row>
    <row r="55" spans="1:18">
      <c r="A55" s="3" t="s">
        <v>24</v>
      </c>
      <c r="B55" s="3" t="s">
        <v>69</v>
      </c>
      <c r="C55" s="3" t="s">
        <v>80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7">
        <f t="shared" si="1"/>
        <v>0</v>
      </c>
    </row>
    <row r="56" spans="1:18">
      <c r="A56" s="3" t="s">
        <v>24</v>
      </c>
      <c r="B56" s="3" t="s">
        <v>69</v>
      </c>
      <c r="C56" s="3" t="s">
        <v>81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450.954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7">
        <f t="shared" si="1"/>
        <v>450.954</v>
      </c>
    </row>
    <row r="57" spans="1:18">
      <c r="A57" s="3" t="s">
        <v>24</v>
      </c>
      <c r="B57" s="3" t="s">
        <v>69</v>
      </c>
      <c r="C57" s="3" t="s">
        <v>82</v>
      </c>
      <c r="D57" s="6">
        <v>1042.8919</v>
      </c>
      <c r="E57" s="6">
        <v>0</v>
      </c>
      <c r="F57" s="6">
        <v>0</v>
      </c>
      <c r="G57" s="6">
        <v>20818</v>
      </c>
      <c r="H57" s="6">
        <v>580140</v>
      </c>
      <c r="I57" s="6">
        <v>143.22</v>
      </c>
      <c r="J57" s="6">
        <v>41829.1295</v>
      </c>
      <c r="K57" s="6">
        <v>4707.2998046875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7">
        <f t="shared" si="1"/>
        <v>648680.541204688</v>
      </c>
    </row>
    <row r="58" spans="1:18">
      <c r="A58" s="3" t="s">
        <v>24</v>
      </c>
      <c r="B58" s="3" t="s">
        <v>69</v>
      </c>
      <c r="C58" s="3" t="s">
        <v>83</v>
      </c>
      <c r="D58" s="6">
        <v>669.4706</v>
      </c>
      <c r="E58" s="6">
        <v>836484.2239</v>
      </c>
      <c r="F58" s="6">
        <v>0</v>
      </c>
      <c r="G58" s="6">
        <v>0</v>
      </c>
      <c r="H58" s="6">
        <v>84299</v>
      </c>
      <c r="I58" s="6">
        <v>310.221</v>
      </c>
      <c r="J58" s="6">
        <v>0</v>
      </c>
      <c r="K58" s="6">
        <v>51572.6015625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f t="shared" si="1"/>
        <v>973335.5170625</v>
      </c>
    </row>
    <row r="59" spans="1:18">
      <c r="A59" s="3" t="s">
        <v>24</v>
      </c>
      <c r="B59" s="3" t="s">
        <v>69</v>
      </c>
      <c r="C59" s="3" t="s">
        <v>84</v>
      </c>
      <c r="D59" s="6">
        <v>2558.0204</v>
      </c>
      <c r="E59" s="6">
        <v>458574.2176</v>
      </c>
      <c r="F59" s="6">
        <v>0</v>
      </c>
      <c r="G59" s="6">
        <v>68044</v>
      </c>
      <c r="H59" s="6">
        <v>1446400</v>
      </c>
      <c r="I59" s="6">
        <v>2427.225</v>
      </c>
      <c r="J59" s="6">
        <v>72139.2</v>
      </c>
      <c r="K59" s="6">
        <v>41524.6015625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7">
        <f t="shared" si="1"/>
        <v>2091667.2645625</v>
      </c>
    </row>
    <row r="60" spans="1:18">
      <c r="A60" s="3" t="s">
        <v>24</v>
      </c>
      <c r="B60" s="3" t="s">
        <v>69</v>
      </c>
      <c r="C60" s="3" t="s">
        <v>85</v>
      </c>
      <c r="D60" s="6">
        <v>175.7916</v>
      </c>
      <c r="E60" s="6">
        <v>2103.4759</v>
      </c>
      <c r="F60" s="6">
        <v>0</v>
      </c>
      <c r="G60" s="6">
        <v>23440</v>
      </c>
      <c r="H60" s="6">
        <v>231750</v>
      </c>
      <c r="I60" s="6">
        <v>363.9105</v>
      </c>
      <c r="J60" s="6">
        <v>11135.316</v>
      </c>
      <c r="K60" s="6">
        <v>2785.39990234375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f t="shared" si="1"/>
        <v>271753.893902344</v>
      </c>
    </row>
    <row r="61" spans="1:18">
      <c r="A61" s="3" t="s">
        <v>24</v>
      </c>
      <c r="B61" s="3" t="s">
        <v>69</v>
      </c>
      <c r="C61" s="3" t="s">
        <v>86</v>
      </c>
      <c r="D61" s="6">
        <v>313.2865</v>
      </c>
      <c r="E61" s="6">
        <v>21554.1545</v>
      </c>
      <c r="F61" s="6">
        <v>0</v>
      </c>
      <c r="G61" s="6">
        <v>0</v>
      </c>
      <c r="H61" s="6">
        <v>334000</v>
      </c>
      <c r="I61" s="6">
        <v>20187.7575</v>
      </c>
      <c r="J61" s="6">
        <v>10195.43</v>
      </c>
      <c r="K61" s="6">
        <v>2676.30004882813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7">
        <f t="shared" si="1"/>
        <v>388926.928548828</v>
      </c>
    </row>
    <row r="62" spans="1:18">
      <c r="A62" s="3" t="s">
        <v>24</v>
      </c>
      <c r="B62" s="3" t="s">
        <v>69</v>
      </c>
      <c r="C62" s="3" t="s">
        <v>87</v>
      </c>
      <c r="D62" s="6">
        <v>1954.6183</v>
      </c>
      <c r="E62" s="6">
        <v>90534.6468</v>
      </c>
      <c r="F62" s="6">
        <v>0</v>
      </c>
      <c r="G62" s="6">
        <v>45697.2</v>
      </c>
      <c r="H62" s="6">
        <v>965904</v>
      </c>
      <c r="I62" s="6">
        <v>262.272</v>
      </c>
      <c r="J62" s="6">
        <v>44151.8743</v>
      </c>
      <c r="K62" s="6">
        <v>20053.099609375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f t="shared" si="1"/>
        <v>1168557.71100938</v>
      </c>
    </row>
    <row r="63" spans="1:18">
      <c r="A63" s="3" t="s">
        <v>24</v>
      </c>
      <c r="B63" s="3" t="s">
        <v>69</v>
      </c>
      <c r="C63" s="3" t="s">
        <v>88</v>
      </c>
      <c r="D63" s="6">
        <v>51.6161</v>
      </c>
      <c r="E63" s="6">
        <v>2149.6054</v>
      </c>
      <c r="F63" s="6">
        <v>0</v>
      </c>
      <c r="G63" s="6">
        <v>0</v>
      </c>
      <c r="H63" s="6">
        <v>84000</v>
      </c>
      <c r="I63" s="6">
        <v>3.048</v>
      </c>
      <c r="J63" s="6">
        <v>3478.6405</v>
      </c>
      <c r="K63" s="6">
        <v>781.900024414063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7">
        <f t="shared" si="1"/>
        <v>90464.8100244141</v>
      </c>
    </row>
    <row r="64" spans="1:18">
      <c r="A64" s="3" t="s">
        <v>24</v>
      </c>
      <c r="B64" s="3" t="s">
        <v>69</v>
      </c>
      <c r="C64" s="3" t="s">
        <v>89</v>
      </c>
      <c r="D64" s="6">
        <v>1463.2583</v>
      </c>
      <c r="E64" s="6">
        <v>245002.1016</v>
      </c>
      <c r="F64" s="6">
        <v>0</v>
      </c>
      <c r="G64" s="6">
        <v>55831.2</v>
      </c>
      <c r="H64" s="6">
        <v>552210</v>
      </c>
      <c r="I64" s="6">
        <v>12230.634</v>
      </c>
      <c r="J64" s="6">
        <v>51555.882</v>
      </c>
      <c r="K64" s="6">
        <v>18698.69921875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f t="shared" si="1"/>
        <v>936991.77511875</v>
      </c>
    </row>
    <row r="65" spans="1:18">
      <c r="A65" s="3" t="s">
        <v>24</v>
      </c>
      <c r="B65" s="3" t="s">
        <v>69</v>
      </c>
      <c r="C65" s="3" t="s">
        <v>90</v>
      </c>
      <c r="D65" s="6">
        <v>15.1019</v>
      </c>
      <c r="E65" s="6">
        <v>2290.7962</v>
      </c>
      <c r="F65" s="6">
        <v>0</v>
      </c>
      <c r="G65" s="6">
        <v>0</v>
      </c>
      <c r="H65" s="6">
        <v>39600</v>
      </c>
      <c r="I65" s="6">
        <v>142.944</v>
      </c>
      <c r="J65" s="6">
        <v>1100.88</v>
      </c>
      <c r="K65" s="6">
        <v>610.900024414063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f t="shared" si="1"/>
        <v>43760.6221244141</v>
      </c>
    </row>
    <row r="66" spans="1:18">
      <c r="A66" s="3" t="s">
        <v>24</v>
      </c>
      <c r="B66" s="3" t="s">
        <v>69</v>
      </c>
      <c r="C66" s="3" t="s">
        <v>91</v>
      </c>
      <c r="D66" s="6">
        <v>0</v>
      </c>
      <c r="E66" s="6">
        <v>201767.58</v>
      </c>
      <c r="F66" s="6">
        <v>0</v>
      </c>
      <c r="G66" s="6">
        <v>0</v>
      </c>
      <c r="H66" s="6">
        <v>1271668</v>
      </c>
      <c r="I66" s="6">
        <v>614.661</v>
      </c>
      <c r="J66" s="6">
        <v>0</v>
      </c>
      <c r="K66" s="6">
        <v>40499.30078125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7">
        <f t="shared" si="1"/>
        <v>1514549.54178125</v>
      </c>
    </row>
    <row r="67" spans="1:18">
      <c r="A67" s="3" t="s">
        <v>24</v>
      </c>
      <c r="B67" s="3" t="s">
        <v>69</v>
      </c>
      <c r="C67" s="3" t="s">
        <v>92</v>
      </c>
      <c r="D67" s="6">
        <v>2109.6716</v>
      </c>
      <c r="E67" s="6">
        <v>534690.7349</v>
      </c>
      <c r="F67" s="6">
        <v>0</v>
      </c>
      <c r="G67" s="6">
        <v>100237.6</v>
      </c>
      <c r="H67" s="6">
        <v>1049151</v>
      </c>
      <c r="I67" s="6">
        <v>3529.8465</v>
      </c>
      <c r="J67" s="6">
        <v>54059.77</v>
      </c>
      <c r="K67" s="6">
        <v>150581.703125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7">
        <f t="shared" si="1"/>
        <v>1894360.326125</v>
      </c>
    </row>
    <row r="68" spans="1:18">
      <c r="A68" s="3" t="s">
        <v>24</v>
      </c>
      <c r="B68" s="3" t="s">
        <v>93</v>
      </c>
      <c r="C68" s="3" t="s">
        <v>94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5.808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7">
        <f t="shared" si="1"/>
        <v>5.808</v>
      </c>
    </row>
    <row r="69" spans="1:18">
      <c r="A69" s="3" t="s">
        <v>24</v>
      </c>
      <c r="B69" s="3" t="s">
        <v>93</v>
      </c>
      <c r="C69" s="3" t="s">
        <v>95</v>
      </c>
      <c r="D69" s="6">
        <v>3.9145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4527.0365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7">
        <f t="shared" si="1"/>
        <v>4530.951</v>
      </c>
    </row>
    <row r="70" spans="1:18">
      <c r="A70" s="3" t="s">
        <v>24</v>
      </c>
      <c r="B70" s="3" t="s">
        <v>93</v>
      </c>
      <c r="C70" s="3" t="s">
        <v>96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4693.9605</v>
      </c>
      <c r="J70" s="6">
        <v>3911.2837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7">
        <f t="shared" si="1"/>
        <v>8605.2442</v>
      </c>
    </row>
    <row r="71" spans="1:18">
      <c r="A71" s="3" t="s">
        <v>24</v>
      </c>
      <c r="B71" s="3" t="s">
        <v>93</v>
      </c>
      <c r="C71" s="3" t="s">
        <v>97</v>
      </c>
      <c r="D71" s="6">
        <v>4.3516</v>
      </c>
      <c r="E71" s="6">
        <v>525.2688</v>
      </c>
      <c r="F71" s="6">
        <v>0</v>
      </c>
      <c r="G71" s="6">
        <v>0</v>
      </c>
      <c r="H71" s="6">
        <v>0</v>
      </c>
      <c r="I71" s="6">
        <v>4109.8455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7">
        <f t="shared" ref="R71:R102" si="2">SUM(D71:Q71)</f>
        <v>4639.4659</v>
      </c>
    </row>
    <row r="72" spans="1:18">
      <c r="A72" s="3" t="s">
        <v>24</v>
      </c>
      <c r="B72" s="3" t="s">
        <v>93</v>
      </c>
      <c r="C72" s="3" t="s">
        <v>98</v>
      </c>
      <c r="D72" s="6">
        <v>11.4392</v>
      </c>
      <c r="E72" s="6">
        <v>3264.2276</v>
      </c>
      <c r="F72" s="6">
        <v>0</v>
      </c>
      <c r="G72" s="6">
        <v>7753.2</v>
      </c>
      <c r="H72" s="6">
        <v>0</v>
      </c>
      <c r="I72" s="6">
        <v>19510.086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7">
        <f t="shared" si="2"/>
        <v>30538.9528</v>
      </c>
    </row>
    <row r="73" spans="1:18">
      <c r="A73" s="3" t="s">
        <v>24</v>
      </c>
      <c r="B73" s="3" t="s">
        <v>93</v>
      </c>
      <c r="C73" s="3" t="s">
        <v>99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285.1875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7">
        <f t="shared" si="2"/>
        <v>285.1875</v>
      </c>
    </row>
    <row r="74" spans="1:18">
      <c r="A74" s="3" t="s">
        <v>24</v>
      </c>
      <c r="B74" s="3" t="s">
        <v>93</v>
      </c>
      <c r="C74" s="3" t="s">
        <v>100</v>
      </c>
      <c r="D74" s="6">
        <v>17.8034</v>
      </c>
      <c r="E74" s="6">
        <v>975.456</v>
      </c>
      <c r="F74" s="6">
        <v>0</v>
      </c>
      <c r="G74" s="6">
        <v>3784.4</v>
      </c>
      <c r="H74" s="6">
        <v>0</v>
      </c>
      <c r="I74" s="6">
        <v>61.0755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7">
        <f t="shared" si="2"/>
        <v>4838.7349</v>
      </c>
    </row>
    <row r="75" spans="1:18">
      <c r="A75" s="3" t="s">
        <v>24</v>
      </c>
      <c r="B75" s="3" t="s">
        <v>93</v>
      </c>
      <c r="C75" s="3" t="s">
        <v>101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81.975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7">
        <f t="shared" si="2"/>
        <v>81.975</v>
      </c>
    </row>
    <row r="76" spans="1:18">
      <c r="A76" s="3" t="s">
        <v>24</v>
      </c>
      <c r="B76" s="3" t="s">
        <v>93</v>
      </c>
      <c r="C76" s="3" t="s">
        <v>102</v>
      </c>
      <c r="D76" s="6">
        <v>20.7478</v>
      </c>
      <c r="E76" s="6">
        <v>0</v>
      </c>
      <c r="F76" s="6">
        <v>0</v>
      </c>
      <c r="G76" s="6">
        <v>0</v>
      </c>
      <c r="H76" s="6">
        <v>0</v>
      </c>
      <c r="I76" s="6">
        <v>23271.834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7">
        <f t="shared" si="2"/>
        <v>23292.5818</v>
      </c>
    </row>
    <row r="77" spans="1:18">
      <c r="A77" s="3" t="s">
        <v>24</v>
      </c>
      <c r="B77" s="3" t="s">
        <v>93</v>
      </c>
      <c r="C77" s="3" t="s">
        <v>103</v>
      </c>
      <c r="D77" s="6">
        <v>8.1022</v>
      </c>
      <c r="E77" s="6">
        <v>2029.86</v>
      </c>
      <c r="F77" s="6">
        <v>0</v>
      </c>
      <c r="G77" s="6">
        <v>0</v>
      </c>
      <c r="H77" s="6">
        <v>0</v>
      </c>
      <c r="I77" s="6">
        <v>1.149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7">
        <f t="shared" si="2"/>
        <v>2039.1112</v>
      </c>
    </row>
    <row r="78" spans="1:18">
      <c r="A78" s="3" t="s">
        <v>24</v>
      </c>
      <c r="B78" s="3" t="s">
        <v>93</v>
      </c>
      <c r="C78" s="3" t="s">
        <v>104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2690.6625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7">
        <f t="shared" si="2"/>
        <v>2690.6625</v>
      </c>
    </row>
    <row r="79" spans="1:18">
      <c r="A79" s="3" t="s">
        <v>24</v>
      </c>
      <c r="B79" s="3" t="s">
        <v>93</v>
      </c>
      <c r="C79" s="3" t="s">
        <v>105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77.226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7">
        <f t="shared" si="2"/>
        <v>77.226</v>
      </c>
    </row>
    <row r="80" spans="1:18">
      <c r="A80" s="3" t="s">
        <v>24</v>
      </c>
      <c r="B80" s="3" t="s">
        <v>93</v>
      </c>
      <c r="C80" s="3" t="s">
        <v>106</v>
      </c>
      <c r="D80" s="6">
        <v>5.8219</v>
      </c>
      <c r="E80" s="6">
        <v>0</v>
      </c>
      <c r="F80" s="6">
        <v>0</v>
      </c>
      <c r="G80" s="6">
        <v>0</v>
      </c>
      <c r="H80" s="6">
        <v>0</v>
      </c>
      <c r="I80" s="6">
        <v>3822.2535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7">
        <f t="shared" si="2"/>
        <v>3828.0754</v>
      </c>
    </row>
    <row r="81" spans="1:18">
      <c r="A81" s="3" t="s">
        <v>24</v>
      </c>
      <c r="B81" s="3" t="s">
        <v>93</v>
      </c>
      <c r="C81" s="3" t="s">
        <v>107</v>
      </c>
      <c r="D81" s="6">
        <v>52.1753</v>
      </c>
      <c r="E81" s="6">
        <v>1028.0844</v>
      </c>
      <c r="F81" s="6">
        <v>0</v>
      </c>
      <c r="G81" s="6">
        <v>19195.6</v>
      </c>
      <c r="H81" s="6">
        <v>0</v>
      </c>
      <c r="I81" s="6">
        <v>110031.3825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7">
        <f t="shared" si="2"/>
        <v>130307.2422</v>
      </c>
    </row>
    <row r="82" spans="1:18">
      <c r="A82" s="3" t="s">
        <v>24</v>
      </c>
      <c r="B82" s="3" t="s">
        <v>93</v>
      </c>
      <c r="C82" s="3" t="s">
        <v>108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3366.945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7">
        <f t="shared" si="2"/>
        <v>3366.945</v>
      </c>
    </row>
    <row r="83" spans="1:18">
      <c r="A83" s="3" t="s">
        <v>24</v>
      </c>
      <c r="B83" s="3" t="s">
        <v>93</v>
      </c>
      <c r="C83" s="3" t="s">
        <v>109</v>
      </c>
      <c r="D83" s="6">
        <v>58.1188</v>
      </c>
      <c r="E83" s="6">
        <v>414.4896</v>
      </c>
      <c r="F83" s="6">
        <v>0</v>
      </c>
      <c r="G83" s="6">
        <v>14096.8</v>
      </c>
      <c r="H83" s="6">
        <v>0</v>
      </c>
      <c r="I83" s="6">
        <v>236.6595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7">
        <f t="shared" si="2"/>
        <v>14806.0679</v>
      </c>
    </row>
    <row r="84" spans="1:18">
      <c r="A84" s="3" t="s">
        <v>24</v>
      </c>
      <c r="B84" s="3" t="s">
        <v>93</v>
      </c>
      <c r="C84" s="3" t="s">
        <v>110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9.2565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7">
        <f t="shared" si="2"/>
        <v>9.2565</v>
      </c>
    </row>
    <row r="85" spans="1:18">
      <c r="A85" s="3" t="s">
        <v>24</v>
      </c>
      <c r="B85" s="3" t="s">
        <v>93</v>
      </c>
      <c r="C85" s="3" t="s">
        <v>111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62.9265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7">
        <f t="shared" si="2"/>
        <v>62.9265</v>
      </c>
    </row>
    <row r="86" spans="1:18">
      <c r="A86" s="3" t="s">
        <v>24</v>
      </c>
      <c r="B86" s="3" t="s">
        <v>93</v>
      </c>
      <c r="C86" s="3" t="s">
        <v>112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16.053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7">
        <f t="shared" si="2"/>
        <v>16.053</v>
      </c>
    </row>
    <row r="87" spans="1:18">
      <c r="A87" s="3" t="s">
        <v>24</v>
      </c>
      <c r="B87" s="3" t="s">
        <v>93</v>
      </c>
      <c r="C87" s="3" t="s">
        <v>113</v>
      </c>
      <c r="D87" s="6">
        <v>6.6044</v>
      </c>
      <c r="E87" s="6">
        <v>0</v>
      </c>
      <c r="F87" s="6">
        <v>0</v>
      </c>
      <c r="G87" s="6">
        <v>645.6</v>
      </c>
      <c r="H87" s="6">
        <v>0</v>
      </c>
      <c r="I87" s="6">
        <v>464.8725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7">
        <f t="shared" si="2"/>
        <v>1117.0769</v>
      </c>
    </row>
    <row r="88" spans="1:18">
      <c r="A88" s="3" t="s">
        <v>24</v>
      </c>
      <c r="B88" s="3" t="s">
        <v>93</v>
      </c>
      <c r="C88" s="3" t="s">
        <v>114</v>
      </c>
      <c r="D88" s="6">
        <v>8.5366</v>
      </c>
      <c r="E88" s="6">
        <v>0</v>
      </c>
      <c r="F88" s="6">
        <v>0</v>
      </c>
      <c r="G88" s="6">
        <v>0</v>
      </c>
      <c r="H88" s="6">
        <v>0</v>
      </c>
      <c r="I88" s="6">
        <v>13733.619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7">
        <f t="shared" si="2"/>
        <v>13742.1556</v>
      </c>
    </row>
    <row r="89" spans="1:18">
      <c r="A89" s="3" t="s">
        <v>24</v>
      </c>
      <c r="B89" s="3" t="s">
        <v>93</v>
      </c>
      <c r="C89" s="3" t="s">
        <v>115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252.3645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f t="shared" si="2"/>
        <v>252.3645</v>
      </c>
    </row>
    <row r="90" spans="1:18">
      <c r="A90" s="3" t="s">
        <v>24</v>
      </c>
      <c r="B90" s="3" t="s">
        <v>93</v>
      </c>
      <c r="C90" s="3" t="s">
        <v>116</v>
      </c>
      <c r="D90" s="6">
        <v>0</v>
      </c>
      <c r="E90" s="6">
        <v>106.6446</v>
      </c>
      <c r="F90" s="6">
        <v>0</v>
      </c>
      <c r="G90" s="6">
        <v>0</v>
      </c>
      <c r="H90" s="6">
        <v>0</v>
      </c>
      <c r="I90" s="6">
        <v>266.0265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f t="shared" si="2"/>
        <v>372.6711</v>
      </c>
    </row>
    <row r="91" spans="1:18">
      <c r="A91" s="3" t="s">
        <v>24</v>
      </c>
      <c r="B91" s="3" t="s">
        <v>93</v>
      </c>
      <c r="C91" s="3" t="s">
        <v>117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4.935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7">
        <f t="shared" si="2"/>
        <v>4.935</v>
      </c>
    </row>
    <row r="92" spans="1:18">
      <c r="A92" s="3" t="s">
        <v>24</v>
      </c>
      <c r="B92" s="3" t="s">
        <v>93</v>
      </c>
      <c r="C92" s="3" t="s">
        <v>118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1194.168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7">
        <f t="shared" si="2"/>
        <v>1194.168</v>
      </c>
    </row>
    <row r="93" spans="1:18">
      <c r="A93" s="3" t="s">
        <v>24</v>
      </c>
      <c r="B93" s="3" t="s">
        <v>93</v>
      </c>
      <c r="C93" s="3" t="s">
        <v>119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2460.561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7">
        <f t="shared" si="2"/>
        <v>2460.561</v>
      </c>
    </row>
    <row r="94" spans="1:18">
      <c r="A94" s="3" t="s">
        <v>24</v>
      </c>
      <c r="B94" s="3" t="s">
        <v>93</v>
      </c>
      <c r="C94" s="3" t="s">
        <v>120</v>
      </c>
      <c r="D94" s="6">
        <v>16.3435</v>
      </c>
      <c r="E94" s="6">
        <v>1412.293</v>
      </c>
      <c r="F94" s="6">
        <v>0</v>
      </c>
      <c r="G94" s="6">
        <v>0</v>
      </c>
      <c r="H94" s="6">
        <v>0</v>
      </c>
      <c r="I94" s="6">
        <v>111883.4325</v>
      </c>
      <c r="J94" s="6">
        <v>24388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7">
        <f t="shared" si="2"/>
        <v>137700.069</v>
      </c>
    </row>
    <row r="95" spans="1:18">
      <c r="A95" s="3" t="s">
        <v>24</v>
      </c>
      <c r="B95" s="3" t="s">
        <v>93</v>
      </c>
      <c r="C95" s="3" t="s">
        <v>121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224.9085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f t="shared" si="2"/>
        <v>224.9085</v>
      </c>
    </row>
    <row r="96" spans="1:18">
      <c r="A96" s="3" t="s">
        <v>24</v>
      </c>
      <c r="B96" s="3" t="s">
        <v>93</v>
      </c>
      <c r="C96" s="3" t="s">
        <v>122</v>
      </c>
      <c r="D96" s="6">
        <v>30.1159</v>
      </c>
      <c r="E96" s="6">
        <v>642.24</v>
      </c>
      <c r="F96" s="6">
        <v>0</v>
      </c>
      <c r="G96" s="6">
        <v>0</v>
      </c>
      <c r="H96" s="6">
        <v>0</v>
      </c>
      <c r="I96" s="6">
        <v>3967.926</v>
      </c>
      <c r="J96" s="6">
        <v>4661.3363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f t="shared" si="2"/>
        <v>9301.6182</v>
      </c>
    </row>
    <row r="97" spans="1:18">
      <c r="A97" s="3" t="s">
        <v>24</v>
      </c>
      <c r="B97" s="3" t="s">
        <v>93</v>
      </c>
      <c r="C97" s="3" t="s">
        <v>123</v>
      </c>
      <c r="D97" s="6">
        <v>0</v>
      </c>
      <c r="E97" s="6">
        <v>671.8475</v>
      </c>
      <c r="F97" s="6">
        <v>0</v>
      </c>
      <c r="G97" s="6">
        <v>0</v>
      </c>
      <c r="H97" s="6">
        <v>0</v>
      </c>
      <c r="I97" s="6">
        <v>18264.9375</v>
      </c>
      <c r="J97" s="6">
        <v>12349.9118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7">
        <f t="shared" si="2"/>
        <v>31286.6968</v>
      </c>
    </row>
    <row r="98" spans="1:18">
      <c r="A98" s="3" t="s">
        <v>24</v>
      </c>
      <c r="B98" s="3" t="s">
        <v>93</v>
      </c>
      <c r="C98" s="3" t="s">
        <v>124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9286.4325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f t="shared" si="2"/>
        <v>9286.4325</v>
      </c>
    </row>
    <row r="99" spans="1:18">
      <c r="A99" s="3" t="s">
        <v>24</v>
      </c>
      <c r="B99" s="3" t="s">
        <v>93</v>
      </c>
      <c r="C99" s="3" t="s">
        <v>125</v>
      </c>
      <c r="D99" s="6">
        <v>11.7182</v>
      </c>
      <c r="E99" s="6">
        <v>0</v>
      </c>
      <c r="F99" s="6">
        <v>0</v>
      </c>
      <c r="G99" s="6">
        <v>14451.2</v>
      </c>
      <c r="H99" s="6">
        <v>0</v>
      </c>
      <c r="I99" s="6">
        <v>40.248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7">
        <f t="shared" si="2"/>
        <v>14503.1662</v>
      </c>
    </row>
    <row r="100" spans="1:18">
      <c r="A100" s="3" t="s">
        <v>24</v>
      </c>
      <c r="B100" s="3" t="s">
        <v>93</v>
      </c>
      <c r="C100" s="3" t="s">
        <v>126</v>
      </c>
      <c r="D100" s="6">
        <v>2.1277</v>
      </c>
      <c r="E100" s="6">
        <v>562.68</v>
      </c>
      <c r="F100" s="6">
        <v>0</v>
      </c>
      <c r="G100" s="6">
        <v>0</v>
      </c>
      <c r="H100" s="6">
        <v>0</v>
      </c>
      <c r="I100" s="6">
        <v>14831.3265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7">
        <f t="shared" si="2"/>
        <v>15396.1342</v>
      </c>
    </row>
    <row r="101" spans="1:18">
      <c r="A101" s="3" t="s">
        <v>24</v>
      </c>
      <c r="B101" s="3" t="s">
        <v>93</v>
      </c>
      <c r="C101" s="3" t="s">
        <v>127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171.231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7">
        <f t="shared" si="2"/>
        <v>171.231</v>
      </c>
    </row>
    <row r="102" spans="1:18">
      <c r="A102" s="3" t="s">
        <v>24</v>
      </c>
      <c r="B102" s="3" t="s">
        <v>93</v>
      </c>
      <c r="C102" s="3" t="s">
        <v>128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63.9225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7">
        <f t="shared" si="2"/>
        <v>63.9225</v>
      </c>
    </row>
    <row r="103" spans="1:18">
      <c r="A103" s="3" t="s">
        <v>24</v>
      </c>
      <c r="B103" s="3" t="s">
        <v>93</v>
      </c>
      <c r="C103" s="3" t="s">
        <v>129</v>
      </c>
      <c r="D103" s="6">
        <v>0</v>
      </c>
      <c r="E103" s="6">
        <v>666</v>
      </c>
      <c r="F103" s="6">
        <v>0</v>
      </c>
      <c r="G103" s="6">
        <v>0</v>
      </c>
      <c r="H103" s="6">
        <v>0</v>
      </c>
      <c r="I103" s="6">
        <v>106.5135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7">
        <f t="shared" ref="R103:R134" si="3">SUM(D103:Q103)</f>
        <v>772.5135</v>
      </c>
    </row>
    <row r="104" spans="1:18">
      <c r="A104" s="3" t="s">
        <v>24</v>
      </c>
      <c r="B104" s="3" t="s">
        <v>93</v>
      </c>
      <c r="C104" s="3" t="s">
        <v>130</v>
      </c>
      <c r="D104" s="6">
        <v>14.9676</v>
      </c>
      <c r="E104" s="6">
        <v>606.5136</v>
      </c>
      <c r="F104" s="6">
        <v>0</v>
      </c>
      <c r="G104" s="6">
        <v>2207.6</v>
      </c>
      <c r="H104" s="6">
        <v>0</v>
      </c>
      <c r="I104" s="6">
        <v>63523.392</v>
      </c>
      <c r="J104" s="6">
        <v>5768.4395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7">
        <f t="shared" si="3"/>
        <v>72120.9127</v>
      </c>
    </row>
    <row r="105" spans="1:18">
      <c r="A105" s="3" t="s">
        <v>24</v>
      </c>
      <c r="B105" s="3" t="s">
        <v>93</v>
      </c>
      <c r="C105" s="3" t="s">
        <v>131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1832.184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7">
        <f t="shared" si="3"/>
        <v>1832.184</v>
      </c>
    </row>
    <row r="106" spans="1:18">
      <c r="A106" s="3" t="s">
        <v>24</v>
      </c>
      <c r="B106" s="3" t="s">
        <v>93</v>
      </c>
      <c r="C106" s="3" t="s">
        <v>132</v>
      </c>
      <c r="D106" s="6">
        <v>0</v>
      </c>
      <c r="E106" s="6">
        <v>632.7936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7">
        <f t="shared" si="3"/>
        <v>632.7936</v>
      </c>
    </row>
    <row r="107" spans="1:18">
      <c r="A107" s="3" t="s">
        <v>24</v>
      </c>
      <c r="B107" s="3" t="s">
        <v>93</v>
      </c>
      <c r="C107" s="3" t="s">
        <v>133</v>
      </c>
      <c r="D107" s="6">
        <v>4.513</v>
      </c>
      <c r="E107" s="6">
        <v>2471.04</v>
      </c>
      <c r="F107" s="6">
        <v>0</v>
      </c>
      <c r="G107" s="6">
        <v>3438.4</v>
      </c>
      <c r="H107" s="6">
        <v>0</v>
      </c>
      <c r="I107" s="6">
        <v>88.2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7">
        <f t="shared" si="3"/>
        <v>6002.153</v>
      </c>
    </row>
    <row r="108" spans="1:18">
      <c r="A108" s="3" t="s">
        <v>24</v>
      </c>
      <c r="B108" s="3" t="s">
        <v>93</v>
      </c>
      <c r="C108" s="3" t="s">
        <v>134</v>
      </c>
      <c r="D108" s="6">
        <v>8.6644</v>
      </c>
      <c r="E108" s="6">
        <v>1011.7591</v>
      </c>
      <c r="F108" s="6">
        <v>0</v>
      </c>
      <c r="G108" s="6">
        <v>1872</v>
      </c>
      <c r="H108" s="6">
        <v>0</v>
      </c>
      <c r="I108" s="6">
        <v>312.957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7">
        <f t="shared" si="3"/>
        <v>3205.3805</v>
      </c>
    </row>
    <row r="109" spans="1:18">
      <c r="A109" s="3" t="s">
        <v>24</v>
      </c>
      <c r="B109" s="3" t="s">
        <v>93</v>
      </c>
      <c r="C109" s="3" t="s">
        <v>135</v>
      </c>
      <c r="D109" s="6">
        <v>10.7406</v>
      </c>
      <c r="E109" s="6">
        <v>723.0989</v>
      </c>
      <c r="F109" s="6">
        <v>0</v>
      </c>
      <c r="G109" s="6">
        <v>0</v>
      </c>
      <c r="H109" s="6">
        <v>0</v>
      </c>
      <c r="I109" s="6">
        <v>41.1345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f t="shared" si="3"/>
        <v>774.974</v>
      </c>
    </row>
    <row r="110" spans="1:18">
      <c r="A110" s="3" t="s">
        <v>24</v>
      </c>
      <c r="B110" s="3" t="s">
        <v>93</v>
      </c>
      <c r="C110" s="3" t="s">
        <v>136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136.749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>
        <f t="shared" si="3"/>
        <v>136.749</v>
      </c>
    </row>
    <row r="111" spans="1:18">
      <c r="A111" s="3" t="s">
        <v>24</v>
      </c>
      <c r="B111" s="3" t="s">
        <v>93</v>
      </c>
      <c r="C111" s="3" t="s">
        <v>137</v>
      </c>
      <c r="D111" s="6">
        <v>9.1505</v>
      </c>
      <c r="E111" s="6">
        <v>0</v>
      </c>
      <c r="F111" s="6">
        <v>0</v>
      </c>
      <c r="G111" s="6">
        <v>6894.4</v>
      </c>
      <c r="H111" s="6">
        <v>0</v>
      </c>
      <c r="I111" s="6">
        <v>20252.0505</v>
      </c>
      <c r="J111" s="6">
        <v>5079.642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7">
        <f t="shared" si="3"/>
        <v>32235.243</v>
      </c>
    </row>
    <row r="112" spans="1:18">
      <c r="A112" s="3" t="s">
        <v>24</v>
      </c>
      <c r="B112" s="3" t="s">
        <v>93</v>
      </c>
      <c r="C112" s="3" t="s">
        <v>138</v>
      </c>
      <c r="D112" s="6">
        <v>8.3633</v>
      </c>
      <c r="E112" s="6">
        <v>0</v>
      </c>
      <c r="F112" s="6">
        <v>0</v>
      </c>
      <c r="G112" s="6">
        <v>0</v>
      </c>
      <c r="H112" s="6">
        <v>0</v>
      </c>
      <c r="I112" s="6">
        <v>339.4785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f t="shared" si="3"/>
        <v>347.8418</v>
      </c>
    </row>
    <row r="113" spans="1:18">
      <c r="A113" s="3" t="s">
        <v>24</v>
      </c>
      <c r="B113" s="3" t="s">
        <v>93</v>
      </c>
      <c r="C113" s="3" t="s">
        <v>139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3012.0105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7">
        <f t="shared" si="3"/>
        <v>3012.0105</v>
      </c>
    </row>
    <row r="114" spans="1:18">
      <c r="A114" s="3" t="s">
        <v>24</v>
      </c>
      <c r="B114" s="3" t="s">
        <v>93</v>
      </c>
      <c r="C114" s="3" t="s">
        <v>140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96.642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7">
        <f t="shared" si="3"/>
        <v>96.642</v>
      </c>
    </row>
    <row r="115" spans="1:18">
      <c r="A115" s="3" t="s">
        <v>24</v>
      </c>
      <c r="B115" s="3" t="s">
        <v>93</v>
      </c>
      <c r="C115" s="3" t="s">
        <v>141</v>
      </c>
      <c r="D115" s="6">
        <v>27.6564</v>
      </c>
      <c r="E115" s="6">
        <v>578.7</v>
      </c>
      <c r="F115" s="6">
        <v>0</v>
      </c>
      <c r="G115" s="6">
        <v>22621.2</v>
      </c>
      <c r="H115" s="6">
        <v>0</v>
      </c>
      <c r="I115" s="6">
        <v>21831.5385</v>
      </c>
      <c r="J115" s="6">
        <v>1261.75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7">
        <f t="shared" si="3"/>
        <v>46320.8449</v>
      </c>
    </row>
    <row r="116" spans="1:18">
      <c r="A116" s="3" t="s">
        <v>24</v>
      </c>
      <c r="B116" s="3" t="s">
        <v>93</v>
      </c>
      <c r="C116" s="3" t="s">
        <v>142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4.8255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7">
        <f t="shared" si="3"/>
        <v>4.8255</v>
      </c>
    </row>
    <row r="117" spans="1:18">
      <c r="A117" s="3" t="s">
        <v>24</v>
      </c>
      <c r="B117" s="3" t="s">
        <v>93</v>
      </c>
      <c r="C117" s="3" t="s">
        <v>143</v>
      </c>
      <c r="D117" s="6">
        <v>14.561</v>
      </c>
      <c r="E117" s="6">
        <v>363.3098</v>
      </c>
      <c r="F117" s="6">
        <v>0</v>
      </c>
      <c r="G117" s="6">
        <v>0</v>
      </c>
      <c r="H117" s="6">
        <v>0</v>
      </c>
      <c r="I117" s="6">
        <v>982.4745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7">
        <f t="shared" si="3"/>
        <v>1360.3453</v>
      </c>
    </row>
    <row r="118" spans="1:18">
      <c r="A118" s="3" t="s">
        <v>24</v>
      </c>
      <c r="B118" s="3" t="s">
        <v>93</v>
      </c>
      <c r="C118" s="3" t="s">
        <v>144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1.7595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7">
        <f t="shared" si="3"/>
        <v>1.7595</v>
      </c>
    </row>
    <row r="119" spans="1:18">
      <c r="A119" s="3" t="s">
        <v>24</v>
      </c>
      <c r="B119" s="3" t="s">
        <v>93</v>
      </c>
      <c r="C119" s="3" t="s">
        <v>145</v>
      </c>
      <c r="D119" s="6">
        <v>19.5352</v>
      </c>
      <c r="E119" s="6">
        <v>1427.328</v>
      </c>
      <c r="F119" s="6">
        <v>0</v>
      </c>
      <c r="G119" s="6">
        <v>0</v>
      </c>
      <c r="H119" s="6">
        <v>0</v>
      </c>
      <c r="I119" s="6">
        <v>0.1335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7">
        <f t="shared" si="3"/>
        <v>1446.9967</v>
      </c>
    </row>
    <row r="120" spans="1:18">
      <c r="A120" s="3" t="s">
        <v>24</v>
      </c>
      <c r="B120" s="3" t="s">
        <v>93</v>
      </c>
      <c r="C120" s="3" t="s">
        <v>146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528.267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7">
        <f t="shared" si="3"/>
        <v>528.267</v>
      </c>
    </row>
    <row r="121" spans="1:18">
      <c r="A121" s="3" t="s">
        <v>24</v>
      </c>
      <c r="B121" s="3" t="s">
        <v>93</v>
      </c>
      <c r="C121" s="3" t="s">
        <v>147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67.3335</v>
      </c>
      <c r="J121" s="6">
        <v>4086.8079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f t="shared" si="3"/>
        <v>4154.1414</v>
      </c>
    </row>
    <row r="122" spans="1:18">
      <c r="A122" s="3" t="s">
        <v>24</v>
      </c>
      <c r="B122" s="3" t="s">
        <v>93</v>
      </c>
      <c r="C122" s="3" t="s">
        <v>148</v>
      </c>
      <c r="D122" s="6">
        <v>36.7568</v>
      </c>
      <c r="E122" s="6">
        <v>0</v>
      </c>
      <c r="F122" s="6">
        <v>0</v>
      </c>
      <c r="G122" s="6">
        <v>6252</v>
      </c>
      <c r="H122" s="6">
        <v>0</v>
      </c>
      <c r="I122" s="6">
        <v>20839.5045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7">
        <f t="shared" si="3"/>
        <v>27128.2613</v>
      </c>
    </row>
    <row r="123" spans="1:18">
      <c r="A123" s="3" t="s">
        <v>24</v>
      </c>
      <c r="B123" s="3" t="s">
        <v>93</v>
      </c>
      <c r="C123" s="3" t="s">
        <v>149</v>
      </c>
      <c r="D123" s="6">
        <v>164.9143</v>
      </c>
      <c r="E123" s="6">
        <v>604.5491</v>
      </c>
      <c r="F123" s="6">
        <v>0</v>
      </c>
      <c r="G123" s="6">
        <v>66050</v>
      </c>
      <c r="H123" s="6">
        <v>0</v>
      </c>
      <c r="I123" s="6">
        <v>330563.343</v>
      </c>
      <c r="J123" s="6">
        <v>79982.2465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f t="shared" si="3"/>
        <v>477365.0529</v>
      </c>
    </row>
    <row r="124" spans="1:18">
      <c r="A124" s="3" t="s">
        <v>24</v>
      </c>
      <c r="B124" s="3" t="s">
        <v>93</v>
      </c>
      <c r="C124" s="3" t="s">
        <v>150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2027.2755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>
        <f t="shared" si="3"/>
        <v>2027.2755</v>
      </c>
    </row>
    <row r="125" spans="1:18">
      <c r="A125" s="3" t="s">
        <v>24</v>
      </c>
      <c r="B125" s="3" t="s">
        <v>93</v>
      </c>
      <c r="C125" s="3" t="s">
        <v>151</v>
      </c>
      <c r="D125" s="6">
        <v>14.263</v>
      </c>
      <c r="E125" s="6">
        <v>63.648</v>
      </c>
      <c r="F125" s="6">
        <v>0</v>
      </c>
      <c r="G125" s="6">
        <v>659.2</v>
      </c>
      <c r="H125" s="6">
        <v>0</v>
      </c>
      <c r="I125" s="6">
        <v>149.3145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7">
        <f t="shared" si="3"/>
        <v>886.4255</v>
      </c>
    </row>
    <row r="126" spans="1:18">
      <c r="A126" s="3" t="s">
        <v>24</v>
      </c>
      <c r="B126" s="3" t="s">
        <v>93</v>
      </c>
      <c r="C126" s="3" t="s">
        <v>152</v>
      </c>
      <c r="D126" s="6">
        <v>1.6847</v>
      </c>
      <c r="E126" s="6">
        <v>248.832</v>
      </c>
      <c r="F126" s="6">
        <v>0</v>
      </c>
      <c r="G126" s="6">
        <v>2542</v>
      </c>
      <c r="H126" s="6">
        <v>0</v>
      </c>
      <c r="I126" s="6">
        <v>24.342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7">
        <f t="shared" si="3"/>
        <v>2816.8587</v>
      </c>
    </row>
    <row r="127" spans="1:18">
      <c r="A127" s="3" t="s">
        <v>24</v>
      </c>
      <c r="B127" s="3" t="s">
        <v>93</v>
      </c>
      <c r="C127" s="3" t="s">
        <v>153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69.879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7">
        <f t="shared" si="3"/>
        <v>69.879</v>
      </c>
    </row>
    <row r="128" spans="1:18">
      <c r="A128" s="3" t="s">
        <v>24</v>
      </c>
      <c r="B128" s="3" t="s">
        <v>93</v>
      </c>
      <c r="C128" s="3" t="s">
        <v>154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10455.3435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7">
        <f t="shared" si="3"/>
        <v>10455.3435</v>
      </c>
    </row>
    <row r="129" spans="1:18">
      <c r="A129" s="3" t="s">
        <v>24</v>
      </c>
      <c r="B129" s="3" t="s">
        <v>93</v>
      </c>
      <c r="C129" s="3" t="s">
        <v>155</v>
      </c>
      <c r="D129" s="6">
        <v>5.9419</v>
      </c>
      <c r="E129" s="6">
        <v>0</v>
      </c>
      <c r="F129" s="6">
        <v>0</v>
      </c>
      <c r="G129" s="6">
        <v>0</v>
      </c>
      <c r="H129" s="6">
        <v>0</v>
      </c>
      <c r="I129" s="6">
        <v>28.4715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7">
        <f t="shared" si="3"/>
        <v>34.4134</v>
      </c>
    </row>
    <row r="130" spans="1:18">
      <c r="A130" s="3" t="s">
        <v>24</v>
      </c>
      <c r="B130" s="3" t="s">
        <v>93</v>
      </c>
      <c r="C130" s="3" t="s">
        <v>156</v>
      </c>
      <c r="D130" s="6">
        <v>3.6665</v>
      </c>
      <c r="E130" s="6">
        <v>0</v>
      </c>
      <c r="F130" s="6">
        <v>0</v>
      </c>
      <c r="G130" s="6">
        <v>1517.6</v>
      </c>
      <c r="H130" s="6">
        <v>0</v>
      </c>
      <c r="I130" s="6">
        <v>0.144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7">
        <f t="shared" si="3"/>
        <v>1521.4105</v>
      </c>
    </row>
    <row r="131" spans="1:18">
      <c r="A131" s="3" t="s">
        <v>24</v>
      </c>
      <c r="B131" s="3" t="s">
        <v>93</v>
      </c>
      <c r="C131" s="3" t="s">
        <v>157</v>
      </c>
      <c r="D131" s="6">
        <v>16.0099</v>
      </c>
      <c r="E131" s="6">
        <v>668.88</v>
      </c>
      <c r="F131" s="6">
        <v>0</v>
      </c>
      <c r="G131" s="6">
        <v>14706</v>
      </c>
      <c r="H131" s="6">
        <v>0</v>
      </c>
      <c r="I131" s="6">
        <v>6.924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7">
        <f t="shared" si="3"/>
        <v>15397.8139</v>
      </c>
    </row>
    <row r="132" spans="1:18">
      <c r="A132" s="3" t="s">
        <v>24</v>
      </c>
      <c r="B132" s="3" t="s">
        <v>93</v>
      </c>
      <c r="C132" s="3" t="s">
        <v>158</v>
      </c>
      <c r="D132" s="6">
        <v>16.8799</v>
      </c>
      <c r="E132" s="6">
        <v>540.108</v>
      </c>
      <c r="F132" s="6">
        <v>0</v>
      </c>
      <c r="G132" s="6">
        <v>5607.6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7">
        <f t="shared" si="3"/>
        <v>6164.5879</v>
      </c>
    </row>
    <row r="133" spans="1:18">
      <c r="A133" s="3" t="s">
        <v>24</v>
      </c>
      <c r="B133" s="3" t="s">
        <v>93</v>
      </c>
      <c r="C133" s="3" t="s">
        <v>159</v>
      </c>
      <c r="D133" s="6">
        <v>0</v>
      </c>
      <c r="E133" s="6">
        <v>109.89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7">
        <f t="shared" si="3"/>
        <v>109.89</v>
      </c>
    </row>
    <row r="134" spans="1:18">
      <c r="A134" s="3" t="s">
        <v>24</v>
      </c>
      <c r="B134" s="3" t="s">
        <v>93</v>
      </c>
      <c r="C134" s="3" t="s">
        <v>160</v>
      </c>
      <c r="D134" s="6">
        <v>9.0733</v>
      </c>
      <c r="E134" s="6">
        <v>0</v>
      </c>
      <c r="F134" s="6">
        <v>0</v>
      </c>
      <c r="G134" s="6">
        <v>1148</v>
      </c>
      <c r="H134" s="6">
        <v>0</v>
      </c>
      <c r="I134" s="6">
        <v>861.7305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7">
        <f t="shared" ref="R134:R170" si="4">SUM(D134:Q134)</f>
        <v>2018.8038</v>
      </c>
    </row>
    <row r="135" spans="1:18">
      <c r="A135" s="3" t="s">
        <v>24</v>
      </c>
      <c r="B135" s="3" t="s">
        <v>93</v>
      </c>
      <c r="C135" s="3" t="s">
        <v>161</v>
      </c>
      <c r="D135" s="6">
        <v>10.6274</v>
      </c>
      <c r="E135" s="6">
        <v>0</v>
      </c>
      <c r="F135" s="6">
        <v>0</v>
      </c>
      <c r="G135" s="6">
        <v>20530.4</v>
      </c>
      <c r="H135" s="6">
        <v>0</v>
      </c>
      <c r="I135" s="6">
        <v>17211.2175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7">
        <f t="shared" si="4"/>
        <v>37752.2449</v>
      </c>
    </row>
    <row r="136" spans="1:18">
      <c r="A136" s="3" t="s">
        <v>24</v>
      </c>
      <c r="B136" s="3" t="s">
        <v>93</v>
      </c>
      <c r="C136" s="3" t="s">
        <v>162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203.6775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7">
        <f t="shared" si="4"/>
        <v>203.6775</v>
      </c>
    </row>
    <row r="137" spans="1:18">
      <c r="A137" s="3" t="s">
        <v>24</v>
      </c>
      <c r="B137" s="3" t="s">
        <v>93</v>
      </c>
      <c r="C137" s="3" t="s">
        <v>163</v>
      </c>
      <c r="D137" s="6">
        <v>29.9287</v>
      </c>
      <c r="E137" s="6">
        <v>1245.132</v>
      </c>
      <c r="F137" s="6">
        <v>0</v>
      </c>
      <c r="G137" s="6">
        <v>24604.8</v>
      </c>
      <c r="H137" s="6">
        <v>0</v>
      </c>
      <c r="I137" s="6">
        <v>376.104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7">
        <f t="shared" si="4"/>
        <v>26255.9647</v>
      </c>
    </row>
    <row r="138" spans="1:18">
      <c r="A138" s="3" t="s">
        <v>24</v>
      </c>
      <c r="B138" s="3" t="s">
        <v>93</v>
      </c>
      <c r="C138" s="3" t="s">
        <v>164</v>
      </c>
      <c r="D138" s="6">
        <v>20.1176</v>
      </c>
      <c r="E138" s="6">
        <v>466.0682</v>
      </c>
      <c r="F138" s="6">
        <v>0</v>
      </c>
      <c r="G138" s="6">
        <v>0</v>
      </c>
      <c r="H138" s="6">
        <v>0</v>
      </c>
      <c r="I138" s="6">
        <v>2138.1465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7">
        <f t="shared" si="4"/>
        <v>2624.3323</v>
      </c>
    </row>
    <row r="139" spans="1:18">
      <c r="A139" s="3" t="s">
        <v>24</v>
      </c>
      <c r="B139" s="3" t="s">
        <v>93</v>
      </c>
      <c r="C139" s="3" t="s">
        <v>165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677.553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7">
        <f t="shared" si="4"/>
        <v>677.553</v>
      </c>
    </row>
    <row r="140" spans="1:18">
      <c r="A140" s="3" t="s">
        <v>24</v>
      </c>
      <c r="B140" s="3" t="s">
        <v>93</v>
      </c>
      <c r="C140" s="3" t="s">
        <v>166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1197.354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7">
        <f t="shared" si="4"/>
        <v>1197.354</v>
      </c>
    </row>
    <row r="141" spans="1:18">
      <c r="A141" s="3" t="s">
        <v>24</v>
      </c>
      <c r="B141" s="3" t="s">
        <v>93</v>
      </c>
      <c r="C141" s="3" t="s">
        <v>167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490.905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7">
        <f t="shared" si="4"/>
        <v>490.905</v>
      </c>
    </row>
    <row r="142" spans="1:18">
      <c r="A142" s="3" t="s">
        <v>24</v>
      </c>
      <c r="B142" s="3" t="s">
        <v>93</v>
      </c>
      <c r="C142" s="3" t="s">
        <v>168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112.695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7">
        <f t="shared" si="4"/>
        <v>112.695</v>
      </c>
    </row>
    <row r="143" spans="1:18">
      <c r="A143" s="3" t="s">
        <v>24</v>
      </c>
      <c r="B143" s="3" t="s">
        <v>93</v>
      </c>
      <c r="C143" s="3" t="s">
        <v>169</v>
      </c>
      <c r="D143" s="6">
        <v>4.7578</v>
      </c>
      <c r="E143" s="6">
        <v>0</v>
      </c>
      <c r="F143" s="6">
        <v>0</v>
      </c>
      <c r="G143" s="6">
        <v>0</v>
      </c>
      <c r="H143" s="6">
        <v>0</v>
      </c>
      <c r="I143" s="6">
        <v>292.1835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f t="shared" si="4"/>
        <v>296.9413</v>
      </c>
    </row>
    <row r="144" spans="1:18">
      <c r="A144" s="3" t="s">
        <v>24</v>
      </c>
      <c r="B144" s="3" t="s">
        <v>93</v>
      </c>
      <c r="C144" s="3" t="s">
        <v>170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376.134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7">
        <f t="shared" si="4"/>
        <v>376.134</v>
      </c>
    </row>
    <row r="145" spans="1:18">
      <c r="A145" s="3" t="s">
        <v>24</v>
      </c>
      <c r="B145" s="3" t="s">
        <v>93</v>
      </c>
      <c r="C145" s="3" t="s">
        <v>171</v>
      </c>
      <c r="D145" s="6">
        <v>44.0381</v>
      </c>
      <c r="E145" s="6">
        <v>419.0198</v>
      </c>
      <c r="F145" s="6">
        <v>0</v>
      </c>
      <c r="G145" s="6">
        <v>5909.6</v>
      </c>
      <c r="H145" s="6">
        <v>0</v>
      </c>
      <c r="I145" s="6">
        <v>25397.9595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7">
        <f t="shared" si="4"/>
        <v>31770.6174</v>
      </c>
    </row>
    <row r="146" spans="1:18">
      <c r="A146" s="3" t="s">
        <v>24</v>
      </c>
      <c r="B146" s="3" t="s">
        <v>93</v>
      </c>
      <c r="C146" s="3" t="s">
        <v>172</v>
      </c>
      <c r="D146" s="6">
        <v>0</v>
      </c>
      <c r="E146" s="6">
        <v>193.32</v>
      </c>
      <c r="F146" s="6">
        <v>0</v>
      </c>
      <c r="G146" s="6">
        <v>0</v>
      </c>
      <c r="H146" s="6">
        <v>0</v>
      </c>
      <c r="I146" s="6">
        <v>252.0615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7">
        <f t="shared" si="4"/>
        <v>445.3815</v>
      </c>
    </row>
    <row r="147" spans="1:18">
      <c r="A147" s="3" t="s">
        <v>24</v>
      </c>
      <c r="B147" s="3" t="s">
        <v>93</v>
      </c>
      <c r="C147" s="3" t="s">
        <v>173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3166.4325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7">
        <f t="shared" si="4"/>
        <v>3166.4325</v>
      </c>
    </row>
    <row r="148" spans="1:18">
      <c r="A148" s="3" t="s">
        <v>24</v>
      </c>
      <c r="B148" s="3" t="s">
        <v>93</v>
      </c>
      <c r="C148" s="3" t="s">
        <v>174</v>
      </c>
      <c r="D148" s="6">
        <v>0</v>
      </c>
      <c r="E148" s="6">
        <v>914.4576</v>
      </c>
      <c r="F148" s="6">
        <v>0</v>
      </c>
      <c r="G148" s="6">
        <v>0</v>
      </c>
      <c r="H148" s="6">
        <v>0</v>
      </c>
      <c r="I148" s="6">
        <v>685.3155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f t="shared" si="4"/>
        <v>1599.7731</v>
      </c>
    </row>
    <row r="149" spans="1:18">
      <c r="A149" s="3" t="s">
        <v>24</v>
      </c>
      <c r="B149" s="3" t="s">
        <v>93</v>
      </c>
      <c r="C149" s="3" t="s">
        <v>175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44.349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7">
        <f t="shared" si="4"/>
        <v>44.349</v>
      </c>
    </row>
    <row r="150" spans="1:18">
      <c r="A150" s="3" t="s">
        <v>24</v>
      </c>
      <c r="B150" s="3" t="s">
        <v>93</v>
      </c>
      <c r="C150" s="3" t="s">
        <v>176</v>
      </c>
      <c r="D150" s="6">
        <v>11.4337</v>
      </c>
      <c r="E150" s="6">
        <v>303.7777</v>
      </c>
      <c r="F150" s="6">
        <v>0</v>
      </c>
      <c r="G150" s="6">
        <v>0</v>
      </c>
      <c r="H150" s="6">
        <v>0</v>
      </c>
      <c r="I150" s="6">
        <v>486.0855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7">
        <f t="shared" si="4"/>
        <v>801.2969</v>
      </c>
    </row>
    <row r="151" spans="1:18">
      <c r="A151" s="3" t="s">
        <v>24</v>
      </c>
      <c r="B151" s="3" t="s">
        <v>93</v>
      </c>
      <c r="C151" s="3" t="s">
        <v>177</v>
      </c>
      <c r="D151" s="6">
        <v>16.3069</v>
      </c>
      <c r="E151" s="6">
        <v>260.316</v>
      </c>
      <c r="F151" s="6">
        <v>0</v>
      </c>
      <c r="G151" s="6">
        <v>0</v>
      </c>
      <c r="H151" s="6">
        <v>0</v>
      </c>
      <c r="I151" s="6">
        <v>23.2005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7">
        <f t="shared" si="4"/>
        <v>299.8234</v>
      </c>
    </row>
    <row r="152" spans="1:18">
      <c r="A152" s="3" t="s">
        <v>24</v>
      </c>
      <c r="B152" s="3" t="s">
        <v>178</v>
      </c>
      <c r="C152" s="3" t="s">
        <v>179</v>
      </c>
      <c r="D152" s="6">
        <v>0</v>
      </c>
      <c r="E152" s="6">
        <v>182.7</v>
      </c>
      <c r="F152" s="6">
        <v>0</v>
      </c>
      <c r="G152" s="6">
        <v>0</v>
      </c>
      <c r="H152" s="6">
        <v>0</v>
      </c>
      <c r="I152" s="6">
        <v>2863.365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7">
        <f t="shared" si="4"/>
        <v>3046.065</v>
      </c>
    </row>
    <row r="153" spans="1:18">
      <c r="A153" s="3" t="s">
        <v>24</v>
      </c>
      <c r="B153" s="3" t="s">
        <v>178</v>
      </c>
      <c r="C153" s="3" t="s">
        <v>180</v>
      </c>
      <c r="D153" s="6">
        <v>0</v>
      </c>
      <c r="E153" s="6">
        <v>333.396</v>
      </c>
      <c r="F153" s="6">
        <v>0</v>
      </c>
      <c r="G153" s="6">
        <v>0</v>
      </c>
      <c r="H153" s="6">
        <v>0</v>
      </c>
      <c r="I153" s="6">
        <v>15651.5715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7">
        <f t="shared" si="4"/>
        <v>15984.9675</v>
      </c>
    </row>
    <row r="154" spans="1:18">
      <c r="A154" s="3" t="s">
        <v>24</v>
      </c>
      <c r="B154" s="3" t="s">
        <v>178</v>
      </c>
      <c r="C154" s="3" t="s">
        <v>181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231.5445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7">
        <f t="shared" si="4"/>
        <v>231.5445</v>
      </c>
    </row>
    <row r="155" spans="1:18">
      <c r="A155" s="3" t="s">
        <v>24</v>
      </c>
      <c r="B155" s="3" t="s">
        <v>178</v>
      </c>
      <c r="C155" s="3" t="s">
        <v>182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41638.635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7">
        <f t="shared" si="4"/>
        <v>41638.635</v>
      </c>
    </row>
    <row r="156" spans="1:18">
      <c r="A156" s="3" t="s">
        <v>24</v>
      </c>
      <c r="B156" s="3" t="s">
        <v>178</v>
      </c>
      <c r="C156" s="3" t="s">
        <v>183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2785.647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7">
        <f t="shared" si="4"/>
        <v>2785.647</v>
      </c>
    </row>
    <row r="157" spans="1:18">
      <c r="A157" s="3" t="s">
        <v>24</v>
      </c>
      <c r="B157" s="3" t="s">
        <v>178</v>
      </c>
      <c r="C157" s="3" t="s">
        <v>184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225698.877</v>
      </c>
      <c r="J157" s="6">
        <v>53849.35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7">
        <f t="shared" si="4"/>
        <v>279548.227</v>
      </c>
    </row>
    <row r="158" spans="1:18">
      <c r="A158" s="3" t="s">
        <v>24</v>
      </c>
      <c r="B158" s="3" t="s">
        <v>178</v>
      </c>
      <c r="C158" s="3" t="s">
        <v>185</v>
      </c>
      <c r="D158" s="6">
        <v>0</v>
      </c>
      <c r="E158" s="6">
        <v>97.74</v>
      </c>
      <c r="F158" s="6">
        <v>0</v>
      </c>
      <c r="G158" s="6">
        <v>0</v>
      </c>
      <c r="H158" s="6">
        <v>0</v>
      </c>
      <c r="I158" s="6">
        <v>201942.6705</v>
      </c>
      <c r="J158" s="6">
        <v>74116.5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7">
        <f t="shared" si="4"/>
        <v>276156.9105</v>
      </c>
    </row>
    <row r="159" spans="1:18">
      <c r="A159" s="3" t="s">
        <v>24</v>
      </c>
      <c r="B159" s="3" t="s">
        <v>178</v>
      </c>
      <c r="C159" s="3" t="s">
        <v>186</v>
      </c>
      <c r="D159" s="6">
        <v>0</v>
      </c>
      <c r="E159" s="6">
        <v>118.368</v>
      </c>
      <c r="F159" s="6">
        <v>0</v>
      </c>
      <c r="G159" s="6">
        <v>0</v>
      </c>
      <c r="H159" s="6">
        <v>0</v>
      </c>
      <c r="I159" s="6">
        <v>223312.596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f t="shared" si="4"/>
        <v>223430.964</v>
      </c>
    </row>
    <row r="160" spans="1:18">
      <c r="A160" s="3" t="s">
        <v>24</v>
      </c>
      <c r="B160" s="3" t="s">
        <v>178</v>
      </c>
      <c r="C160" s="3" t="s">
        <v>187</v>
      </c>
      <c r="D160" s="6">
        <v>0</v>
      </c>
      <c r="E160" s="6">
        <v>4429.656</v>
      </c>
      <c r="F160" s="6">
        <v>0</v>
      </c>
      <c r="G160" s="6">
        <v>0</v>
      </c>
      <c r="H160" s="6">
        <v>0</v>
      </c>
      <c r="I160" s="6">
        <v>4.161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7">
        <f t="shared" si="4"/>
        <v>4433.817</v>
      </c>
    </row>
    <row r="161" spans="1:18">
      <c r="A161" s="3" t="s">
        <v>24</v>
      </c>
      <c r="B161" s="3" t="s">
        <v>178</v>
      </c>
      <c r="C161" s="3" t="s">
        <v>188</v>
      </c>
      <c r="D161" s="6">
        <v>0</v>
      </c>
      <c r="E161" s="6">
        <v>180.576</v>
      </c>
      <c r="F161" s="6">
        <v>0</v>
      </c>
      <c r="G161" s="6">
        <v>0</v>
      </c>
      <c r="H161" s="6">
        <v>0</v>
      </c>
      <c r="I161" s="6">
        <v>881383.0575</v>
      </c>
      <c r="J161" s="6">
        <v>210807.759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f t="shared" si="4"/>
        <v>1092371.3925</v>
      </c>
    </row>
    <row r="162" spans="1:18">
      <c r="A162" s="3" t="s">
        <v>24</v>
      </c>
      <c r="B162" s="3" t="s">
        <v>178</v>
      </c>
      <c r="C162" s="3" t="s">
        <v>189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1463.1045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7">
        <f t="shared" si="4"/>
        <v>1463.1045</v>
      </c>
    </row>
    <row r="163" spans="1:18">
      <c r="A163" s="3" t="s">
        <v>24</v>
      </c>
      <c r="B163" s="3" t="s">
        <v>178</v>
      </c>
      <c r="C163" s="3" t="s">
        <v>190</v>
      </c>
      <c r="D163" s="6">
        <v>0</v>
      </c>
      <c r="E163" s="6">
        <v>228.096</v>
      </c>
      <c r="F163" s="6">
        <v>0</v>
      </c>
      <c r="G163" s="6">
        <v>0</v>
      </c>
      <c r="H163" s="6">
        <v>0</v>
      </c>
      <c r="I163" s="6">
        <v>68417.388</v>
      </c>
      <c r="J163" s="6">
        <v>68285.7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f t="shared" si="4"/>
        <v>136931.184</v>
      </c>
    </row>
    <row r="164" spans="1:18">
      <c r="A164" s="3" t="s">
        <v>24</v>
      </c>
      <c r="B164" s="3" t="s">
        <v>178</v>
      </c>
      <c r="C164" s="3" t="s">
        <v>191</v>
      </c>
      <c r="D164" s="6">
        <v>0</v>
      </c>
      <c r="E164" s="6">
        <v>775.62</v>
      </c>
      <c r="F164" s="6">
        <v>0</v>
      </c>
      <c r="G164" s="6">
        <v>0</v>
      </c>
      <c r="H164" s="6">
        <v>0</v>
      </c>
      <c r="I164" s="6">
        <v>229776.4125</v>
      </c>
      <c r="J164" s="6">
        <v>112224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7">
        <f t="shared" si="4"/>
        <v>342776.0325</v>
      </c>
    </row>
    <row r="165" spans="1:18">
      <c r="A165" s="3" t="s">
        <v>24</v>
      </c>
      <c r="B165" s="3" t="s">
        <v>178</v>
      </c>
      <c r="C165" s="3" t="s">
        <v>192</v>
      </c>
      <c r="D165" s="6">
        <v>0</v>
      </c>
      <c r="E165" s="6">
        <v>262.656</v>
      </c>
      <c r="F165" s="6">
        <v>0</v>
      </c>
      <c r="G165" s="6">
        <v>0</v>
      </c>
      <c r="H165" s="6">
        <v>0</v>
      </c>
      <c r="I165" s="6">
        <v>204185.1285</v>
      </c>
      <c r="J165" s="6">
        <v>76939.36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7">
        <f t="shared" si="4"/>
        <v>281387.1445</v>
      </c>
    </row>
    <row r="166" spans="1:18">
      <c r="A166" s="3" t="s">
        <v>24</v>
      </c>
      <c r="B166" s="3" t="s">
        <v>178</v>
      </c>
      <c r="C166" s="3" t="s">
        <v>193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1210.149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7">
        <f t="shared" si="4"/>
        <v>1210.149</v>
      </c>
    </row>
    <row r="167" spans="1:18">
      <c r="A167" s="3" t="s">
        <v>24</v>
      </c>
      <c r="B167" s="3" t="s">
        <v>178</v>
      </c>
      <c r="C167" s="3" t="s">
        <v>194</v>
      </c>
      <c r="D167" s="6">
        <v>0</v>
      </c>
      <c r="E167" s="6">
        <v>532.332</v>
      </c>
      <c r="F167" s="6">
        <v>0</v>
      </c>
      <c r="G167" s="6">
        <v>0</v>
      </c>
      <c r="H167" s="6">
        <v>0</v>
      </c>
      <c r="I167" s="6">
        <v>145957.446</v>
      </c>
      <c r="J167" s="6">
        <v>208412.442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7">
        <f t="shared" si="4"/>
        <v>354902.22</v>
      </c>
    </row>
    <row r="168" spans="1:18">
      <c r="A168" s="3" t="s">
        <v>24</v>
      </c>
      <c r="B168" s="3" t="s">
        <v>178</v>
      </c>
      <c r="C168" s="3" t="s">
        <v>195</v>
      </c>
      <c r="D168" s="6">
        <v>0</v>
      </c>
      <c r="E168" s="6">
        <v>670.752</v>
      </c>
      <c r="F168" s="6">
        <v>0</v>
      </c>
      <c r="G168" s="6">
        <v>0</v>
      </c>
      <c r="H168" s="6">
        <v>0</v>
      </c>
      <c r="I168" s="6">
        <v>197919.612</v>
      </c>
      <c r="J168" s="6">
        <v>91914.75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7">
        <f t="shared" si="4"/>
        <v>290505.114</v>
      </c>
    </row>
    <row r="169" spans="1:18">
      <c r="A169" s="3" t="s">
        <v>24</v>
      </c>
      <c r="B169" s="3" t="s">
        <v>178</v>
      </c>
      <c r="C169" s="3" t="s">
        <v>196</v>
      </c>
      <c r="D169" s="6">
        <v>0</v>
      </c>
      <c r="E169" s="6">
        <v>329.0112</v>
      </c>
      <c r="F169" s="6">
        <v>0</v>
      </c>
      <c r="G169" s="6">
        <v>0</v>
      </c>
      <c r="H169" s="6">
        <v>0</v>
      </c>
      <c r="I169" s="6">
        <v>576113.4345</v>
      </c>
      <c r="J169" s="6">
        <v>123465.342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f t="shared" si="4"/>
        <v>699907.7877</v>
      </c>
    </row>
    <row r="170" spans="1:18">
      <c r="A170" s="3" t="s">
        <v>24</v>
      </c>
      <c r="B170" s="3" t="s">
        <v>178</v>
      </c>
      <c r="C170" s="3" t="s">
        <v>197</v>
      </c>
      <c r="D170" s="6">
        <v>0</v>
      </c>
      <c r="E170" s="6">
        <v>1656.288</v>
      </c>
      <c r="F170" s="6">
        <v>0</v>
      </c>
      <c r="G170" s="6">
        <v>0</v>
      </c>
      <c r="H170" s="6">
        <v>0</v>
      </c>
      <c r="I170" s="6">
        <v>3734.0355</v>
      </c>
      <c r="J170" s="6">
        <v>157115.1825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7">
        <f t="shared" si="4"/>
        <v>162505.506</v>
      </c>
    </row>
    <row r="171" spans="1:18">
      <c r="A171" s="3" t="s">
        <v>24</v>
      </c>
      <c r="B171" s="3" t="s">
        <v>198</v>
      </c>
      <c r="C171" s="3" t="s">
        <v>199</v>
      </c>
      <c r="D171" s="6">
        <v>13.6885</v>
      </c>
      <c r="E171" s="6">
        <v>0</v>
      </c>
      <c r="F171" s="6">
        <v>0</v>
      </c>
      <c r="G171" s="6">
        <v>2395.6</v>
      </c>
      <c r="H171" s="6">
        <v>0</v>
      </c>
      <c r="I171" s="6">
        <v>1.8675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f t="shared" ref="R171:R183" si="5">SUM(D171:Q171)</f>
        <v>2411.156</v>
      </c>
    </row>
    <row r="172" spans="1:18">
      <c r="A172" s="3" t="s">
        <v>24</v>
      </c>
      <c r="B172" s="3" t="s">
        <v>198</v>
      </c>
      <c r="C172" s="3" t="s">
        <v>200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6.135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7">
        <f t="shared" si="5"/>
        <v>6.135</v>
      </c>
    </row>
    <row r="173" spans="1:18">
      <c r="A173" s="3" t="s">
        <v>24</v>
      </c>
      <c r="B173" s="3" t="s">
        <v>198</v>
      </c>
      <c r="C173" s="3" t="s">
        <v>201</v>
      </c>
      <c r="D173" s="6">
        <v>0.1505</v>
      </c>
      <c r="E173" s="6">
        <v>0</v>
      </c>
      <c r="F173" s="6">
        <v>0</v>
      </c>
      <c r="G173" s="6">
        <v>0</v>
      </c>
      <c r="H173" s="6">
        <v>0</v>
      </c>
      <c r="I173" s="6">
        <v>0.4755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7">
        <f t="shared" si="5"/>
        <v>0.626</v>
      </c>
    </row>
    <row r="174" spans="1:18">
      <c r="A174" s="3" t="s">
        <v>24</v>
      </c>
      <c r="B174" s="3" t="s">
        <v>198</v>
      </c>
      <c r="C174" s="3" t="s">
        <v>202</v>
      </c>
      <c r="D174" s="6">
        <v>38.375</v>
      </c>
      <c r="E174" s="6">
        <v>0</v>
      </c>
      <c r="F174" s="6">
        <v>0</v>
      </c>
      <c r="G174" s="6">
        <v>22699.2</v>
      </c>
      <c r="H174" s="6">
        <v>0</v>
      </c>
      <c r="I174" s="6">
        <v>112.272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f t="shared" si="5"/>
        <v>22849.847</v>
      </c>
    </row>
    <row r="175" spans="1:18">
      <c r="A175" s="3" t="s">
        <v>24</v>
      </c>
      <c r="B175" s="3" t="s">
        <v>198</v>
      </c>
      <c r="C175" s="3" t="s">
        <v>203</v>
      </c>
      <c r="D175" s="6">
        <v>52.3153</v>
      </c>
      <c r="E175" s="6">
        <v>0</v>
      </c>
      <c r="F175" s="6">
        <v>0</v>
      </c>
      <c r="G175" s="6">
        <v>25974.8</v>
      </c>
      <c r="H175" s="6">
        <v>0</v>
      </c>
      <c r="I175" s="6">
        <v>2.244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7">
        <f t="shared" si="5"/>
        <v>26029.3593</v>
      </c>
    </row>
    <row r="176" spans="1:18">
      <c r="A176" s="3" t="s">
        <v>24</v>
      </c>
      <c r="B176" s="3" t="s">
        <v>198</v>
      </c>
      <c r="C176" s="3" t="s">
        <v>204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141.0045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7">
        <f t="shared" si="5"/>
        <v>141.0045</v>
      </c>
    </row>
    <row r="177" spans="1:18">
      <c r="A177" s="3" t="s">
        <v>24</v>
      </c>
      <c r="B177" s="3" t="s">
        <v>198</v>
      </c>
      <c r="C177" s="3" t="s">
        <v>205</v>
      </c>
      <c r="D177" s="6">
        <v>36.5094</v>
      </c>
      <c r="E177" s="6">
        <v>0</v>
      </c>
      <c r="F177" s="6">
        <v>0</v>
      </c>
      <c r="G177" s="6">
        <v>23038</v>
      </c>
      <c r="H177" s="6">
        <v>0</v>
      </c>
      <c r="I177" s="6">
        <v>9.867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f t="shared" si="5"/>
        <v>23084.3764</v>
      </c>
    </row>
    <row r="178" spans="1:18">
      <c r="A178" s="3" t="s">
        <v>24</v>
      </c>
      <c r="B178" s="3" t="s">
        <v>198</v>
      </c>
      <c r="C178" s="3" t="s">
        <v>206</v>
      </c>
      <c r="D178" s="6">
        <v>27.0127</v>
      </c>
      <c r="E178" s="6">
        <v>0</v>
      </c>
      <c r="F178" s="6">
        <v>0</v>
      </c>
      <c r="G178" s="6">
        <v>31053.6</v>
      </c>
      <c r="H178" s="6">
        <v>0</v>
      </c>
      <c r="I178" s="6">
        <v>1106.136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7">
        <f t="shared" si="5"/>
        <v>32186.7487</v>
      </c>
    </row>
    <row r="179" spans="1:18">
      <c r="A179" s="3" t="s">
        <v>24</v>
      </c>
      <c r="B179" s="3" t="s">
        <v>198</v>
      </c>
      <c r="C179" s="3" t="s">
        <v>207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1.776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7">
        <f t="shared" si="5"/>
        <v>1.776</v>
      </c>
    </row>
    <row r="180" spans="1:18">
      <c r="A180" s="3" t="s">
        <v>24</v>
      </c>
      <c r="B180" s="3" t="s">
        <v>198</v>
      </c>
      <c r="C180" s="3" t="s">
        <v>208</v>
      </c>
      <c r="D180" s="6">
        <v>17.958</v>
      </c>
      <c r="E180" s="6">
        <v>0</v>
      </c>
      <c r="F180" s="6">
        <v>0</v>
      </c>
      <c r="G180" s="6">
        <v>46902.4</v>
      </c>
      <c r="H180" s="6">
        <v>0</v>
      </c>
      <c r="I180" s="6">
        <v>0.051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7">
        <f t="shared" si="5"/>
        <v>46920.409</v>
      </c>
    </row>
    <row r="181" spans="1:18">
      <c r="A181" s="3" t="s">
        <v>24</v>
      </c>
      <c r="B181" s="3" t="s">
        <v>198</v>
      </c>
      <c r="C181" s="3" t="s">
        <v>209</v>
      </c>
      <c r="D181" s="6">
        <v>8.1175</v>
      </c>
      <c r="E181" s="6">
        <v>0</v>
      </c>
      <c r="F181" s="6">
        <v>0</v>
      </c>
      <c r="G181" s="6">
        <v>10320</v>
      </c>
      <c r="H181" s="6">
        <v>0</v>
      </c>
      <c r="I181" s="6">
        <v>6.744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7">
        <f t="shared" si="5"/>
        <v>10334.8615</v>
      </c>
    </row>
    <row r="182" spans="1:18">
      <c r="A182" s="3" t="s">
        <v>24</v>
      </c>
      <c r="B182" s="3" t="s">
        <v>198</v>
      </c>
      <c r="C182" s="3" t="s">
        <v>210</v>
      </c>
      <c r="D182" s="6">
        <v>32.0101</v>
      </c>
      <c r="E182" s="6">
        <v>0</v>
      </c>
      <c r="F182" s="6">
        <v>0</v>
      </c>
      <c r="G182" s="6">
        <v>86035.6</v>
      </c>
      <c r="H182" s="6">
        <v>0</v>
      </c>
      <c r="I182" s="6">
        <v>13.296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f t="shared" si="5"/>
        <v>86080.9061</v>
      </c>
    </row>
    <row r="183" spans="1:18">
      <c r="A183" s="3" t="s">
        <v>24</v>
      </c>
      <c r="B183" s="3" t="s">
        <v>198</v>
      </c>
      <c r="C183" s="3" t="s">
        <v>211</v>
      </c>
      <c r="D183" s="6">
        <v>27.5262</v>
      </c>
      <c r="E183" s="6">
        <v>0</v>
      </c>
      <c r="F183" s="6">
        <v>0</v>
      </c>
      <c r="G183" s="6">
        <v>2538.4</v>
      </c>
      <c r="H183" s="6">
        <v>0</v>
      </c>
      <c r="I183" s="6">
        <v>197.4195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7">
        <f t="shared" si="5"/>
        <v>2763.3457</v>
      </c>
    </row>
    <row r="184" spans="1:18">
      <c r="A184" s="3" t="s">
        <v>24</v>
      </c>
      <c r="B184" s="3" t="s">
        <v>198</v>
      </c>
      <c r="C184" s="3" t="s">
        <v>212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0.3975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7">
        <f t="shared" ref="R184:R198" si="6">SUM(D184:Q184)</f>
        <v>0.3975</v>
      </c>
    </row>
    <row r="185" spans="1:18">
      <c r="A185" s="3" t="s">
        <v>24</v>
      </c>
      <c r="B185" s="3" t="s">
        <v>198</v>
      </c>
      <c r="C185" s="3" t="s">
        <v>213</v>
      </c>
      <c r="D185" s="6">
        <v>44.3044</v>
      </c>
      <c r="E185" s="6">
        <v>0</v>
      </c>
      <c r="F185" s="6">
        <v>0</v>
      </c>
      <c r="G185" s="6">
        <v>31272.8</v>
      </c>
      <c r="H185" s="6">
        <v>0</v>
      </c>
      <c r="I185" s="6">
        <v>9.165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7">
        <f t="shared" si="6"/>
        <v>31326.2694</v>
      </c>
    </row>
    <row r="186" spans="1:18">
      <c r="A186" s="3" t="s">
        <v>24</v>
      </c>
      <c r="B186" s="3" t="s">
        <v>198</v>
      </c>
      <c r="C186" s="3" t="s">
        <v>214</v>
      </c>
      <c r="D186" s="6">
        <v>12.0539</v>
      </c>
      <c r="E186" s="6">
        <v>0</v>
      </c>
      <c r="F186" s="6">
        <v>0</v>
      </c>
      <c r="G186" s="6">
        <v>23695.2</v>
      </c>
      <c r="H186" s="6">
        <v>0</v>
      </c>
      <c r="I186" s="6">
        <v>127.9755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7">
        <f t="shared" si="6"/>
        <v>23835.2294</v>
      </c>
    </row>
    <row r="187" spans="1:18">
      <c r="A187" s="3" t="s">
        <v>24</v>
      </c>
      <c r="B187" s="3" t="s">
        <v>198</v>
      </c>
      <c r="C187" s="3" t="s">
        <v>215</v>
      </c>
      <c r="D187" s="6">
        <v>38.4817</v>
      </c>
      <c r="E187" s="6">
        <v>0</v>
      </c>
      <c r="F187" s="6">
        <v>0</v>
      </c>
      <c r="G187" s="6">
        <v>17745.2</v>
      </c>
      <c r="H187" s="6">
        <v>0</v>
      </c>
      <c r="I187" s="6">
        <v>66.357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7">
        <f t="shared" si="6"/>
        <v>17850.0387</v>
      </c>
    </row>
    <row r="188" spans="1:18">
      <c r="A188" s="3" t="s">
        <v>24</v>
      </c>
      <c r="B188" s="3" t="s">
        <v>198</v>
      </c>
      <c r="C188" s="3" t="s">
        <v>216</v>
      </c>
      <c r="D188" s="6">
        <v>14.7193</v>
      </c>
      <c r="E188" s="6">
        <v>0</v>
      </c>
      <c r="F188" s="6">
        <v>0</v>
      </c>
      <c r="G188" s="6">
        <v>12304.8</v>
      </c>
      <c r="H188" s="6">
        <v>0</v>
      </c>
      <c r="I188" s="6">
        <v>181.3935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7">
        <f t="shared" si="6"/>
        <v>12500.9128</v>
      </c>
    </row>
    <row r="189" spans="1:18">
      <c r="A189" s="3" t="s">
        <v>24</v>
      </c>
      <c r="B189" s="3" t="s">
        <v>198</v>
      </c>
      <c r="C189" s="3" t="s">
        <v>217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62.9475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7">
        <f t="shared" si="6"/>
        <v>62.9475</v>
      </c>
    </row>
    <row r="190" spans="1:18">
      <c r="A190" s="3" t="s">
        <v>24</v>
      </c>
      <c r="B190" s="3" t="s">
        <v>198</v>
      </c>
      <c r="C190" s="3" t="s">
        <v>218</v>
      </c>
      <c r="D190" s="6">
        <v>42.1501</v>
      </c>
      <c r="E190" s="6">
        <v>0</v>
      </c>
      <c r="F190" s="6">
        <v>0</v>
      </c>
      <c r="G190" s="6">
        <v>30990</v>
      </c>
      <c r="H190" s="6">
        <v>0</v>
      </c>
      <c r="I190" s="6">
        <v>2157.6855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7">
        <f t="shared" si="6"/>
        <v>33189.8356</v>
      </c>
    </row>
    <row r="191" spans="1:18">
      <c r="A191" s="3" t="s">
        <v>24</v>
      </c>
      <c r="B191" s="3" t="s">
        <v>198</v>
      </c>
      <c r="C191" s="3" t="s">
        <v>219</v>
      </c>
      <c r="D191" s="6">
        <v>9.544</v>
      </c>
      <c r="E191" s="6">
        <v>0</v>
      </c>
      <c r="F191" s="6">
        <v>0</v>
      </c>
      <c r="G191" s="6">
        <v>10713.6</v>
      </c>
      <c r="H191" s="6">
        <v>0</v>
      </c>
      <c r="I191" s="6">
        <v>20716.938</v>
      </c>
      <c r="J191" s="6">
        <v>3143.25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7">
        <f t="shared" si="6"/>
        <v>34583.332</v>
      </c>
    </row>
    <row r="192" spans="1:18">
      <c r="A192" s="3" t="s">
        <v>24</v>
      </c>
      <c r="B192" s="3" t="s">
        <v>198</v>
      </c>
      <c r="C192" s="3" t="s">
        <v>220</v>
      </c>
      <c r="D192" s="6">
        <v>7.6822</v>
      </c>
      <c r="E192" s="6">
        <v>0</v>
      </c>
      <c r="F192" s="6">
        <v>0</v>
      </c>
      <c r="G192" s="6">
        <v>7582</v>
      </c>
      <c r="H192" s="6">
        <v>0</v>
      </c>
      <c r="I192" s="6">
        <v>5522.6115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7">
        <f t="shared" si="6"/>
        <v>13112.2937</v>
      </c>
    </row>
    <row r="193" spans="1:18">
      <c r="A193" s="3" t="s">
        <v>24</v>
      </c>
      <c r="B193" s="3" t="s">
        <v>198</v>
      </c>
      <c r="C193" s="3" t="s">
        <v>221</v>
      </c>
      <c r="D193" s="6">
        <v>74.1935</v>
      </c>
      <c r="E193" s="6">
        <v>0</v>
      </c>
      <c r="F193" s="6">
        <v>0</v>
      </c>
      <c r="G193" s="6">
        <v>37136</v>
      </c>
      <c r="H193" s="6">
        <v>0</v>
      </c>
      <c r="I193" s="6">
        <v>103.044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7">
        <f t="shared" si="6"/>
        <v>37313.2375</v>
      </c>
    </row>
    <row r="194" spans="1:18">
      <c r="A194" s="3" t="s">
        <v>24</v>
      </c>
      <c r="B194" s="3" t="s">
        <v>198</v>
      </c>
      <c r="C194" s="3" t="s">
        <v>222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7">
        <f t="shared" si="6"/>
        <v>0</v>
      </c>
    </row>
    <row r="195" spans="1:18">
      <c r="A195" s="3" t="s">
        <v>24</v>
      </c>
      <c r="B195" s="3" t="s">
        <v>198</v>
      </c>
      <c r="C195" s="3" t="s">
        <v>223</v>
      </c>
      <c r="D195" s="6">
        <v>35.4258</v>
      </c>
      <c r="E195" s="6">
        <v>0</v>
      </c>
      <c r="F195" s="6">
        <v>0</v>
      </c>
      <c r="G195" s="6">
        <v>25549.6</v>
      </c>
      <c r="H195" s="6">
        <v>0</v>
      </c>
      <c r="I195" s="6">
        <v>7.173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7">
        <f t="shared" si="6"/>
        <v>25592.1988</v>
      </c>
    </row>
    <row r="196" spans="1:18">
      <c r="A196" s="3" t="s">
        <v>24</v>
      </c>
      <c r="B196" s="3" t="s">
        <v>198</v>
      </c>
      <c r="C196" s="3" t="s">
        <v>224</v>
      </c>
      <c r="D196" s="6">
        <v>47.9776</v>
      </c>
      <c r="E196" s="6">
        <v>0</v>
      </c>
      <c r="F196" s="6">
        <v>0</v>
      </c>
      <c r="G196" s="6">
        <v>39529.6</v>
      </c>
      <c r="H196" s="6">
        <v>0</v>
      </c>
      <c r="I196" s="6">
        <v>702.66</v>
      </c>
      <c r="J196" s="6">
        <v>7353.2352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7">
        <f t="shared" si="6"/>
        <v>47633.4728</v>
      </c>
    </row>
    <row r="197" spans="1:18">
      <c r="A197" s="3" t="s">
        <v>24</v>
      </c>
      <c r="B197" s="3" t="s">
        <v>225</v>
      </c>
      <c r="C197" s="3" t="s">
        <v>226</v>
      </c>
      <c r="D197" s="6">
        <v>0</v>
      </c>
      <c r="E197" s="6">
        <v>145028.2753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7">
        <f t="shared" si="6"/>
        <v>145028.2753</v>
      </c>
    </row>
    <row r="198" spans="1:18">
      <c r="A198" s="3" t="s">
        <v>24</v>
      </c>
      <c r="B198" s="3" t="s">
        <v>225</v>
      </c>
      <c r="C198" s="3" t="s">
        <v>227</v>
      </c>
      <c r="D198" s="6">
        <v>0</v>
      </c>
      <c r="E198" s="6">
        <v>705916.618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7">
        <f t="shared" si="6"/>
        <v>705916.618</v>
      </c>
    </row>
  </sheetData>
  <mergeCells count="1">
    <mergeCell ref="A1:R1"/>
  </mergeCells>
  <pageMargins left="0.699305555555556" right="0.699305555555556" top="0.75" bottom="0.75" header="0.3" footer="0.3"/>
  <pageSetup paperSize="9" scale="2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2022-09-28T06:10:00Z</dcterms:created>
  <dcterms:modified xsi:type="dcterms:W3CDTF">2026-03-31T06:39:22Z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