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工作表" sheetId="1" r:id="rId1"/>
  </sheets>
  <definedNames>
    <definedName name="_xlnm._FilterDatabase" localSheetId="0" hidden="1">工作表!$A$4:$AY$201</definedName>
  </definedNames>
  <calcPr calcId="144525"/>
</workbook>
</file>

<file path=xl/sharedStrings.xml><?xml version="1.0" encoding="utf-8"?>
<sst xmlns="http://schemas.openxmlformats.org/spreadsheetml/2006/main" count="672" uniqueCount="240">
  <si>
    <t/>
  </si>
  <si>
    <t>调度纪律考核</t>
  </si>
  <si>
    <t>曲线偏差考核</t>
  </si>
  <si>
    <t>调峰考核</t>
  </si>
  <si>
    <t>一次调频考核</t>
  </si>
  <si>
    <t>自动发电控制考核</t>
  </si>
  <si>
    <t>apc考核</t>
  </si>
  <si>
    <t>无功调节考核</t>
  </si>
  <si>
    <t>爬坡考核</t>
  </si>
  <si>
    <t>稳定切机考核</t>
  </si>
  <si>
    <t>非计划停运考核</t>
  </si>
  <si>
    <t>黑启动考核</t>
  </si>
  <si>
    <t>快速甩负荷考核</t>
  </si>
  <si>
    <t>检修管理考核</t>
  </si>
  <si>
    <t>继电保护考核</t>
  </si>
  <si>
    <t>继保装置运行考核</t>
  </si>
  <si>
    <t>安全运行水平考核</t>
  </si>
  <si>
    <t>通信专业考核</t>
  </si>
  <si>
    <t>自动化专业考核</t>
  </si>
  <si>
    <t>励磁和PSS考核</t>
  </si>
  <si>
    <t>高压侧或升压电站电气设备专业考核</t>
  </si>
  <si>
    <t>风电场、光伏电站短路比考核</t>
  </si>
  <si>
    <t>风光发电功率预测考核</t>
  </si>
  <si>
    <t>水调自动化考核</t>
  </si>
  <si>
    <t>燃煤电厂信息报送考核</t>
  </si>
  <si>
    <t>考核费用</t>
  </si>
  <si>
    <t>调度</t>
  </si>
  <si>
    <t>类型</t>
  </si>
  <si>
    <t>并网主体</t>
  </si>
  <si>
    <t>考核电量（MWH）</t>
  </si>
  <si>
    <t>费用(元)</t>
  </si>
  <si>
    <t>合计（元）</t>
  </si>
  <si>
    <t>本月汇总</t>
  </si>
  <si>
    <t>浙江省调</t>
  </si>
  <si>
    <t>火电</t>
  </si>
  <si>
    <t>北二厂</t>
  </si>
  <si>
    <t>北仑厂</t>
  </si>
  <si>
    <t>北三厂</t>
  </si>
  <si>
    <t>北四厂</t>
  </si>
  <si>
    <t>苍二厂</t>
  </si>
  <si>
    <t>苍南厂</t>
  </si>
  <si>
    <t>曹娥江</t>
  </si>
  <si>
    <t>长二厂</t>
  </si>
  <si>
    <t>长兴厂</t>
  </si>
  <si>
    <t>大崧厂</t>
  </si>
  <si>
    <t>嘉二厂</t>
  </si>
  <si>
    <t>嘉兴厂</t>
  </si>
  <si>
    <t>巨化厂</t>
  </si>
  <si>
    <t>兰溪厂</t>
  </si>
  <si>
    <t>朗熹电厂</t>
  </si>
  <si>
    <t>朗熹发电厂</t>
  </si>
  <si>
    <t>乐清厂</t>
  </si>
  <si>
    <t>六横厂</t>
  </si>
  <si>
    <t>牛山厂</t>
  </si>
  <si>
    <t>强蛟厂</t>
  </si>
  <si>
    <t>胜龙厂</t>
  </si>
  <si>
    <t>台塑厂</t>
  </si>
  <si>
    <t>台州厂</t>
  </si>
  <si>
    <t>温二厂</t>
  </si>
  <si>
    <t>温州厂</t>
  </si>
  <si>
    <t>温州三厂</t>
  </si>
  <si>
    <t>乌沙山</t>
  </si>
  <si>
    <t>玉环厂</t>
  </si>
  <si>
    <t>招宝山</t>
  </si>
  <si>
    <t>水电</t>
  </si>
  <si>
    <t>丰源厂</t>
  </si>
  <si>
    <t>黄坛口</t>
  </si>
  <si>
    <t>三溪口</t>
  </si>
  <si>
    <t>珊溪厂</t>
  </si>
  <si>
    <t>石水厂</t>
  </si>
  <si>
    <t>滩坑厂</t>
  </si>
  <si>
    <t>乌水厂</t>
  </si>
  <si>
    <t>小溪厂</t>
  </si>
  <si>
    <t>核电</t>
  </si>
  <si>
    <t>秦山厂</t>
  </si>
  <si>
    <t>三澳核电</t>
  </si>
  <si>
    <t>三门厂</t>
  </si>
  <si>
    <t>燃机</t>
  </si>
  <si>
    <t>220kV镇海发电厂</t>
  </si>
  <si>
    <t>半燃厂</t>
  </si>
  <si>
    <t>常山厂</t>
  </si>
  <si>
    <t>长燃厂</t>
  </si>
  <si>
    <t>德能厂</t>
  </si>
  <si>
    <t>华舜厂</t>
  </si>
  <si>
    <t>吉能厂</t>
  </si>
  <si>
    <t>江东厂</t>
  </si>
  <si>
    <t>金二厂</t>
  </si>
  <si>
    <t>金燃厂</t>
  </si>
  <si>
    <t>柯城厂</t>
  </si>
  <si>
    <t>蓝天厂</t>
  </si>
  <si>
    <t>龙湾厂</t>
  </si>
  <si>
    <t>龙游厂</t>
  </si>
  <si>
    <t>梅溪燃机</t>
  </si>
  <si>
    <t>唐绍厂</t>
  </si>
  <si>
    <t>桐燃厂</t>
  </si>
  <si>
    <t>下沙厂</t>
  </si>
  <si>
    <t>萧燃厂</t>
  </si>
  <si>
    <t>新城厂</t>
  </si>
  <si>
    <t>新泓口</t>
  </si>
  <si>
    <t>浔宝厂</t>
  </si>
  <si>
    <t>婺城燃机</t>
  </si>
  <si>
    <t>光伏</t>
  </si>
  <si>
    <t>安南光伏站</t>
  </si>
  <si>
    <t>白渔站</t>
  </si>
  <si>
    <t>百益站</t>
  </si>
  <si>
    <t>草荡站</t>
  </si>
  <si>
    <t>潮汐站</t>
  </si>
  <si>
    <t>大呈站</t>
  </si>
  <si>
    <t>大涂站</t>
  </si>
  <si>
    <t>大柘站</t>
  </si>
  <si>
    <t>道太站</t>
  </si>
  <si>
    <t>登步站</t>
  </si>
  <si>
    <t>汾口站</t>
  </si>
  <si>
    <t>风凌站</t>
  </si>
  <si>
    <t>广洋站</t>
  </si>
  <si>
    <t>海韵站</t>
  </si>
  <si>
    <t>合村光伏站</t>
  </si>
  <si>
    <t>亨泰站</t>
  </si>
  <si>
    <t>宏塔站</t>
  </si>
  <si>
    <t>华博站</t>
  </si>
  <si>
    <t>华芳光伏站</t>
  </si>
  <si>
    <t>华塘站</t>
  </si>
  <si>
    <t>华洋光伏站</t>
  </si>
  <si>
    <t>汇核站</t>
  </si>
  <si>
    <t>汇能站</t>
  </si>
  <si>
    <t>嘉厂站</t>
  </si>
  <si>
    <t>嘉达光伏站</t>
  </si>
  <si>
    <t>佳源站</t>
  </si>
  <si>
    <t>江泰站</t>
  </si>
  <si>
    <t>晶都光伏站</t>
  </si>
  <si>
    <t>晶科站</t>
  </si>
  <si>
    <t>柯泰站</t>
  </si>
  <si>
    <t>兰晶站</t>
  </si>
  <si>
    <t>乐厂站</t>
  </si>
  <si>
    <t>乐泰站</t>
  </si>
  <si>
    <t>里墅站</t>
  </si>
  <si>
    <t>莲花站</t>
  </si>
  <si>
    <t>莲塘站</t>
  </si>
  <si>
    <t>莲岙站</t>
  </si>
  <si>
    <t>凌光站</t>
  </si>
  <si>
    <t>六厂站</t>
  </si>
  <si>
    <t>龙河站</t>
  </si>
  <si>
    <t>龙翔站</t>
  </si>
  <si>
    <t>吕岗站</t>
  </si>
  <si>
    <t>绿能站</t>
  </si>
  <si>
    <t>宁厂站</t>
  </si>
  <si>
    <t>磐新站</t>
  </si>
  <si>
    <t>钱凌光伏站</t>
  </si>
  <si>
    <t>青源站</t>
  </si>
  <si>
    <t>清港站</t>
  </si>
  <si>
    <t>秋塘站</t>
  </si>
  <si>
    <t>日升站</t>
  </si>
  <si>
    <t>融源站</t>
  </si>
  <si>
    <t>盛林站</t>
  </si>
  <si>
    <t>舒能站</t>
  </si>
  <si>
    <t>舒奇站</t>
  </si>
  <si>
    <t>舒泰站</t>
  </si>
  <si>
    <t>泰瀚站</t>
  </si>
  <si>
    <t>碳银光伏站</t>
  </si>
  <si>
    <t>唐景站</t>
  </si>
  <si>
    <t>唐屿站</t>
  </si>
  <si>
    <t>唐源站</t>
  </si>
  <si>
    <t>唐云光伏</t>
  </si>
  <si>
    <t>唐鳌站</t>
  </si>
  <si>
    <t>桃溪站</t>
  </si>
  <si>
    <t>万市站</t>
  </si>
  <si>
    <t>万投站</t>
  </si>
  <si>
    <t>乌厂站</t>
  </si>
  <si>
    <t>武川站</t>
  </si>
  <si>
    <t>溪仑站</t>
  </si>
  <si>
    <t>夏湖站</t>
  </si>
  <si>
    <t>仙丰站</t>
  </si>
  <si>
    <t>祥晖站</t>
  </si>
  <si>
    <t>向阳站</t>
  </si>
  <si>
    <t>协能站</t>
  </si>
  <si>
    <t>欣埠站</t>
  </si>
  <si>
    <t>兴能光伏站</t>
  </si>
  <si>
    <t>雅田站</t>
  </si>
  <si>
    <t>益凌站</t>
  </si>
  <si>
    <t>源凌站</t>
  </si>
  <si>
    <t>正能站</t>
  </si>
  <si>
    <t>中节站</t>
  </si>
  <si>
    <t>岚能站</t>
  </si>
  <si>
    <t>岱涂站</t>
  </si>
  <si>
    <t>梓勋光伏站</t>
  </si>
  <si>
    <t>瓯泰站</t>
  </si>
  <si>
    <t>蛟禾站</t>
  </si>
  <si>
    <t>风电</t>
  </si>
  <si>
    <t>百花场</t>
  </si>
  <si>
    <t>苍海场</t>
  </si>
  <si>
    <t>大衢风电</t>
  </si>
  <si>
    <t>鼎峰场</t>
  </si>
  <si>
    <t>福海风电</t>
  </si>
  <si>
    <t>干江场</t>
  </si>
  <si>
    <t>海州场</t>
  </si>
  <si>
    <t>禾海场</t>
  </si>
  <si>
    <t>红山场</t>
  </si>
  <si>
    <t>嘉海场</t>
  </si>
  <si>
    <t>龙母场</t>
  </si>
  <si>
    <t>普陀场</t>
  </si>
  <si>
    <t>润海场</t>
  </si>
  <si>
    <t>涂海场</t>
  </si>
  <si>
    <t>维新场</t>
  </si>
  <si>
    <t>象海场</t>
  </si>
  <si>
    <t>鱼海场</t>
  </si>
  <si>
    <t>玉海场</t>
  </si>
  <si>
    <t>岱山场</t>
  </si>
  <si>
    <t>抽蓄</t>
  </si>
  <si>
    <t>宁蓄厂</t>
  </si>
  <si>
    <t>虚拟电厂</t>
  </si>
  <si>
    <t>华能浙江能源聚合中心</t>
  </si>
  <si>
    <t>浙能虚拟能源聚合中心</t>
  </si>
  <si>
    <t>储能</t>
  </si>
  <si>
    <t>长电储能</t>
  </si>
  <si>
    <t>大有储能</t>
  </si>
  <si>
    <t>定海储能</t>
  </si>
  <si>
    <t>丰门储能</t>
  </si>
  <si>
    <t>郭溪储能</t>
  </si>
  <si>
    <t>国宏储能</t>
  </si>
  <si>
    <t>杭临储能</t>
  </si>
  <si>
    <t>恒新储能</t>
  </si>
  <si>
    <t>江电储能</t>
  </si>
  <si>
    <t>交安储能</t>
  </si>
  <si>
    <t>晶网储能</t>
  </si>
  <si>
    <t>京能储能</t>
  </si>
  <si>
    <t>柯林储能</t>
  </si>
  <si>
    <t>蓝电储能</t>
  </si>
  <si>
    <t>利星储能</t>
  </si>
  <si>
    <t>绿建储能</t>
  </si>
  <si>
    <t>启泰储能</t>
  </si>
  <si>
    <t>泉电储能</t>
  </si>
  <si>
    <t>日昇储能</t>
  </si>
  <si>
    <t>顺发储能</t>
  </si>
  <si>
    <t>万义储能</t>
  </si>
  <si>
    <t>萧电储能</t>
  </si>
  <si>
    <t>萧开储能</t>
  </si>
  <si>
    <t>欣元储能</t>
  </si>
  <si>
    <t>新亭储能</t>
  </si>
  <si>
    <t>星兰储能</t>
  </si>
  <si>
    <t>剡中储能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</si>
</sst>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5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6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9" applyNumberFormat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2" xfId="0" applyFont="1" applyBorder="1"/>
    <xf numFmtId="0" fontId="0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201"/>
  <sheetViews>
    <sheetView tabSelected="1" workbookViewId="0">
      <pane xSplit="3" ySplit="3" topLeftCell="AP4" activePane="bottomRight" state="frozen"/>
      <selection/>
      <selection pane="topRight"/>
      <selection pane="bottomLeft"/>
      <selection pane="bottomRight" activeCell="AX15" sqref="AX15"/>
    </sheetView>
  </sheetViews>
  <sheetFormatPr defaultColWidth="11" defaultRowHeight="14.25"/>
  <cols>
    <col min="3" max="3" width="12.4416666666667" customWidth="1"/>
    <col min="4" max="4" width="16.875" customWidth="1"/>
    <col min="5" max="5" width="13.8166666666667" customWidth="1"/>
    <col min="6" max="6" width="17.3166666666667" customWidth="1"/>
    <col min="7" max="7" width="12" customWidth="1"/>
    <col min="8" max="8" width="17.0666666666667" customWidth="1"/>
    <col min="9" max="9" width="15.3166666666667" customWidth="1"/>
    <col min="10" max="10" width="16" customWidth="1"/>
    <col min="11" max="11" width="11.9416666666667" customWidth="1"/>
    <col min="12" max="12" width="16.875" customWidth="1"/>
    <col min="13" max="13" width="11" customWidth="1"/>
    <col min="14" max="14" width="16.5666666666667" customWidth="1"/>
    <col min="15" max="15" width="14.8166666666667" customWidth="1"/>
    <col min="16" max="17" width="16.3166666666667" customWidth="1"/>
    <col min="18" max="18" width="16.9416666666667" customWidth="1"/>
    <col min="20" max="21" width="17.4416666666667" customWidth="1"/>
    <col min="22" max="23" width="15.6916666666667" customWidth="1"/>
    <col min="24" max="24" width="17.1916666666667" customWidth="1"/>
    <col min="25" max="25" width="13" customWidth="1"/>
    <col min="26" max="26" width="17.6916666666667" customWidth="1"/>
    <col min="27" max="27" width="11" customWidth="1"/>
    <col min="28" max="28" width="17.625" customWidth="1"/>
    <col min="29" max="29" width="12" customWidth="1"/>
    <col min="30" max="37" width="16.3166666666667" customWidth="1"/>
    <col min="38" max="38" width="17" customWidth="1"/>
    <col min="39" max="39" width="14.1916666666667" customWidth="1"/>
    <col min="40" max="40" width="17.3166666666667" customWidth="1"/>
    <col min="41" max="41" width="11" customWidth="1"/>
    <col min="42" max="42" width="16.0666666666667" customWidth="1"/>
    <col min="43" max="43" width="21.0666666666667" customWidth="1"/>
    <col min="44" max="44" width="26.75" customWidth="1"/>
    <col min="45" max="45" width="21.25" customWidth="1"/>
    <col min="46" max="46" width="16.0666666666667" customWidth="1"/>
    <col min="47" max="47" width="19.875" customWidth="1"/>
    <col min="48" max="48" width="20.75" customWidth="1"/>
    <col min="49" max="49" width="14.75" customWidth="1"/>
    <col min="50" max="50" width="19.125" customWidth="1"/>
    <col min="51" max="51" width="15.4416666666667" customWidth="1"/>
    <col min="52" max="52" width="12.625"/>
  </cols>
  <sheetData>
    <row r="1" spans="1:5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>
      <c r="A2" s="3"/>
      <c r="B2" s="3"/>
      <c r="C2" s="3"/>
      <c r="D2" s="4" t="s">
        <v>1</v>
      </c>
      <c r="E2" s="4"/>
      <c r="F2" s="5" t="s">
        <v>2</v>
      </c>
      <c r="G2" s="4"/>
      <c r="H2" s="5" t="s">
        <v>3</v>
      </c>
      <c r="I2" s="4"/>
      <c r="J2" s="4" t="s">
        <v>4</v>
      </c>
      <c r="K2" s="4"/>
      <c r="L2" s="5" t="s">
        <v>5</v>
      </c>
      <c r="M2" s="4"/>
      <c r="N2" s="4" t="s">
        <v>6</v>
      </c>
      <c r="O2" s="4"/>
      <c r="P2" s="4" t="s">
        <v>7</v>
      </c>
      <c r="Q2" s="4"/>
      <c r="R2" s="4" t="s">
        <v>8</v>
      </c>
      <c r="S2" s="4"/>
      <c r="T2" s="4" t="s">
        <v>9</v>
      </c>
      <c r="U2" s="4"/>
      <c r="V2" s="4" t="s">
        <v>10</v>
      </c>
      <c r="W2" s="4"/>
      <c r="X2" s="4" t="s">
        <v>11</v>
      </c>
      <c r="Y2" s="4"/>
      <c r="Z2" s="5" t="s">
        <v>12</v>
      </c>
      <c r="AA2" s="4"/>
      <c r="AB2" s="4" t="s">
        <v>13</v>
      </c>
      <c r="AC2" s="4"/>
      <c r="AD2" s="4" t="s">
        <v>14</v>
      </c>
      <c r="AE2" s="4"/>
      <c r="AF2" s="4" t="s">
        <v>15</v>
      </c>
      <c r="AG2" s="4"/>
      <c r="AH2" s="4" t="s">
        <v>16</v>
      </c>
      <c r="AI2" s="4"/>
      <c r="AJ2" s="5" t="s">
        <v>17</v>
      </c>
      <c r="AK2" s="4"/>
      <c r="AL2" s="5" t="s">
        <v>18</v>
      </c>
      <c r="AM2" s="4"/>
      <c r="AN2" s="4" t="s">
        <v>19</v>
      </c>
      <c r="AO2" s="4"/>
      <c r="AP2" s="5" t="s">
        <v>20</v>
      </c>
      <c r="AQ2" s="4"/>
      <c r="AR2" s="10" t="s">
        <v>21</v>
      </c>
      <c r="AS2" s="11"/>
      <c r="AT2" s="5" t="s">
        <v>22</v>
      </c>
      <c r="AU2" s="4"/>
      <c r="AV2" s="5" t="s">
        <v>23</v>
      </c>
      <c r="AW2" s="4"/>
      <c r="AX2" s="5" t="s">
        <v>24</v>
      </c>
      <c r="AY2" s="4"/>
      <c r="AZ2" s="12" t="s">
        <v>25</v>
      </c>
    </row>
    <row r="3" spans="1:52">
      <c r="A3" s="6" t="s">
        <v>26</v>
      </c>
      <c r="B3" s="6" t="s">
        <v>27</v>
      </c>
      <c r="C3" s="6" t="s">
        <v>28</v>
      </c>
      <c r="D3" s="7" t="s">
        <v>29</v>
      </c>
      <c r="E3" s="8" t="s">
        <v>30</v>
      </c>
      <c r="F3" s="7" t="s">
        <v>29</v>
      </c>
      <c r="G3" s="8" t="s">
        <v>30</v>
      </c>
      <c r="H3" s="8" t="s">
        <v>29</v>
      </c>
      <c r="I3" s="8" t="s">
        <v>30</v>
      </c>
      <c r="J3" s="8" t="s">
        <v>29</v>
      </c>
      <c r="K3" s="8" t="s">
        <v>30</v>
      </c>
      <c r="L3" s="8" t="s">
        <v>29</v>
      </c>
      <c r="M3" s="8" t="s">
        <v>30</v>
      </c>
      <c r="N3" s="8" t="s">
        <v>29</v>
      </c>
      <c r="O3" s="8" t="s">
        <v>30</v>
      </c>
      <c r="P3" s="8" t="s">
        <v>29</v>
      </c>
      <c r="Q3" s="8" t="s">
        <v>30</v>
      </c>
      <c r="R3" s="8" t="s">
        <v>29</v>
      </c>
      <c r="S3" s="8" t="s">
        <v>30</v>
      </c>
      <c r="T3" s="8" t="s">
        <v>29</v>
      </c>
      <c r="U3" s="8" t="s">
        <v>30</v>
      </c>
      <c r="V3" s="8" t="s">
        <v>29</v>
      </c>
      <c r="W3" s="8" t="s">
        <v>30</v>
      </c>
      <c r="X3" s="8" t="s">
        <v>29</v>
      </c>
      <c r="Y3" s="8" t="s">
        <v>30</v>
      </c>
      <c r="Z3" s="8" t="s">
        <v>29</v>
      </c>
      <c r="AA3" s="8" t="s">
        <v>30</v>
      </c>
      <c r="AB3" s="8" t="s">
        <v>29</v>
      </c>
      <c r="AC3" s="8" t="s">
        <v>30</v>
      </c>
      <c r="AD3" s="8" t="s">
        <v>29</v>
      </c>
      <c r="AE3" s="8" t="s">
        <v>30</v>
      </c>
      <c r="AF3" s="8" t="s">
        <v>29</v>
      </c>
      <c r="AG3" s="8" t="s">
        <v>30</v>
      </c>
      <c r="AH3" s="8" t="s">
        <v>29</v>
      </c>
      <c r="AI3" s="8" t="s">
        <v>30</v>
      </c>
      <c r="AJ3" s="8" t="s">
        <v>29</v>
      </c>
      <c r="AK3" s="7" t="s">
        <v>30</v>
      </c>
      <c r="AL3" s="8" t="s">
        <v>29</v>
      </c>
      <c r="AM3" s="8" t="s">
        <v>30</v>
      </c>
      <c r="AN3" s="8" t="s">
        <v>29</v>
      </c>
      <c r="AO3" s="8" t="s">
        <v>30</v>
      </c>
      <c r="AP3" s="8" t="s">
        <v>29</v>
      </c>
      <c r="AQ3" s="8" t="s">
        <v>30</v>
      </c>
      <c r="AR3" s="8" t="s">
        <v>29</v>
      </c>
      <c r="AS3" s="8" t="s">
        <v>30</v>
      </c>
      <c r="AT3" s="7" t="s">
        <v>29</v>
      </c>
      <c r="AU3" s="7" t="s">
        <v>30</v>
      </c>
      <c r="AV3" s="7" t="s">
        <v>29</v>
      </c>
      <c r="AW3" s="7" t="s">
        <v>30</v>
      </c>
      <c r="AX3" s="7" t="s">
        <v>29</v>
      </c>
      <c r="AY3" s="7" t="s">
        <v>30</v>
      </c>
      <c r="AZ3" s="13" t="s">
        <v>31</v>
      </c>
    </row>
    <row r="4" s="1" customFormat="1" spans="1:52">
      <c r="A4" s="9" t="s">
        <v>0</v>
      </c>
      <c r="B4" s="9" t="s">
        <v>0</v>
      </c>
      <c r="C4" s="9" t="s">
        <v>32</v>
      </c>
      <c r="D4" s="9">
        <f>SUM(D5:D201)</f>
        <v>0</v>
      </c>
      <c r="E4" s="9">
        <f t="shared" ref="E4:AZ4" si="0">SUM(E5:E201)</f>
        <v>0</v>
      </c>
      <c r="F4" s="9">
        <f t="shared" si="0"/>
        <v>0</v>
      </c>
      <c r="G4" s="9">
        <f t="shared" si="0"/>
        <v>0</v>
      </c>
      <c r="H4" s="9">
        <f t="shared" si="0"/>
        <v>16732.9947</v>
      </c>
      <c r="I4" s="9">
        <f t="shared" si="0"/>
        <v>6641425.8335</v>
      </c>
      <c r="J4" s="9">
        <f t="shared" si="0"/>
        <v>10022.0616</v>
      </c>
      <c r="K4" s="9">
        <f t="shared" si="0"/>
        <v>3977816.2557</v>
      </c>
      <c r="L4" s="9">
        <f t="shared" si="0"/>
        <v>1819025.2437</v>
      </c>
      <c r="M4" s="9">
        <f t="shared" si="0"/>
        <v>10439130.3398</v>
      </c>
      <c r="N4" s="9">
        <f t="shared" si="0"/>
        <v>0</v>
      </c>
      <c r="O4" s="9">
        <f t="shared" si="0"/>
        <v>0</v>
      </c>
      <c r="P4" s="9">
        <f t="shared" si="0"/>
        <v>1905.5258</v>
      </c>
      <c r="Q4" s="9">
        <f t="shared" si="0"/>
        <v>756314.6001</v>
      </c>
      <c r="R4" s="9">
        <f t="shared" si="0"/>
        <v>0</v>
      </c>
      <c r="S4" s="9">
        <f t="shared" si="0"/>
        <v>0</v>
      </c>
      <c r="T4" s="9">
        <f t="shared" si="0"/>
        <v>0</v>
      </c>
      <c r="U4" s="9">
        <f t="shared" si="0"/>
        <v>0</v>
      </c>
      <c r="V4" s="9">
        <f t="shared" si="0"/>
        <v>30311.8069</v>
      </c>
      <c r="W4" s="9">
        <f t="shared" si="0"/>
        <v>12030938.0296</v>
      </c>
      <c r="X4" s="9">
        <f t="shared" si="0"/>
        <v>0</v>
      </c>
      <c r="Y4" s="9">
        <f t="shared" si="0"/>
        <v>0</v>
      </c>
      <c r="Z4" s="9">
        <f t="shared" si="0"/>
        <v>0</v>
      </c>
      <c r="AA4" s="9">
        <f t="shared" si="0"/>
        <v>0</v>
      </c>
      <c r="AB4" s="9">
        <f t="shared" si="0"/>
        <v>545.424</v>
      </c>
      <c r="AC4" s="9">
        <f t="shared" si="0"/>
        <v>216482.0581</v>
      </c>
      <c r="AD4" s="9">
        <f t="shared" si="0"/>
        <v>0</v>
      </c>
      <c r="AE4" s="9">
        <f t="shared" si="0"/>
        <v>0</v>
      </c>
      <c r="AF4" s="9">
        <f t="shared" si="0"/>
        <v>0</v>
      </c>
      <c r="AG4" s="9">
        <f t="shared" si="0"/>
        <v>0</v>
      </c>
      <c r="AH4" s="9">
        <f t="shared" si="0"/>
        <v>9.286</v>
      </c>
      <c r="AI4" s="9">
        <f t="shared" si="0"/>
        <v>3685.6691</v>
      </c>
      <c r="AJ4" s="9">
        <f t="shared" si="0"/>
        <v>0</v>
      </c>
      <c r="AK4" s="9">
        <f t="shared" si="0"/>
        <v>0</v>
      </c>
      <c r="AL4" s="9">
        <f t="shared" si="0"/>
        <v>0</v>
      </c>
      <c r="AM4" s="9">
        <f t="shared" si="0"/>
        <v>0</v>
      </c>
      <c r="AN4" s="9">
        <f t="shared" si="0"/>
        <v>0</v>
      </c>
      <c r="AO4" s="9">
        <f t="shared" si="0"/>
        <v>0</v>
      </c>
      <c r="AP4" s="9">
        <f t="shared" si="0"/>
        <v>0</v>
      </c>
      <c r="AQ4" s="9">
        <f t="shared" si="0"/>
        <v>0</v>
      </c>
      <c r="AR4" s="9">
        <f t="shared" si="0"/>
        <v>0</v>
      </c>
      <c r="AS4" s="9">
        <f t="shared" si="0"/>
        <v>0</v>
      </c>
      <c r="AT4" s="9">
        <f t="shared" si="0"/>
        <v>5031.368</v>
      </c>
      <c r="AU4" s="9">
        <f t="shared" si="0"/>
        <v>1996980.1269</v>
      </c>
      <c r="AV4" s="9">
        <f t="shared" si="0"/>
        <v>0</v>
      </c>
      <c r="AW4" s="9">
        <f t="shared" si="0"/>
        <v>0</v>
      </c>
      <c r="AX4" s="9">
        <f t="shared" si="0"/>
        <v>0</v>
      </c>
      <c r="AY4" s="9">
        <f t="shared" si="0"/>
        <v>0</v>
      </c>
      <c r="AZ4" s="14">
        <f t="shared" si="0"/>
        <v>36062772.9128</v>
      </c>
    </row>
    <row r="5" spans="1:52">
      <c r="A5" s="9" t="s">
        <v>33</v>
      </c>
      <c r="B5" s="9" t="s">
        <v>34</v>
      </c>
      <c r="C5" s="9" t="s">
        <v>35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221.6272</v>
      </c>
      <c r="K5" s="9">
        <v>87965.171</v>
      </c>
      <c r="L5" s="9">
        <v>133751.7199</v>
      </c>
      <c r="M5" s="9">
        <v>439845.8792</v>
      </c>
      <c r="N5" s="9">
        <v>0</v>
      </c>
      <c r="O5" s="9">
        <v>0</v>
      </c>
      <c r="P5" s="9">
        <v>49.5453</v>
      </c>
      <c r="Q5" s="9">
        <v>19664.8395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14">
        <f>E5+G5+I5+K5+M5+O5+Q5+S5+U5+W5+Y5+AA5+AC5+AE5+AG5+AI5+AK5+AM5+AO5+AQ5+AS5+AU5+AW5+AY5</f>
        <v>547475.8897</v>
      </c>
    </row>
    <row r="6" spans="1:52">
      <c r="A6" s="9" t="s">
        <v>33</v>
      </c>
      <c r="B6" s="9" t="s">
        <v>34</v>
      </c>
      <c r="C6" s="9" t="s">
        <v>36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125.1163</v>
      </c>
      <c r="K6" s="9">
        <v>49659.3919</v>
      </c>
      <c r="L6" s="9">
        <v>7719.6472</v>
      </c>
      <c r="M6" s="9">
        <v>216747.3769</v>
      </c>
      <c r="N6" s="9">
        <v>0</v>
      </c>
      <c r="O6" s="9">
        <v>0</v>
      </c>
      <c r="P6" s="9">
        <v>16.4203</v>
      </c>
      <c r="Q6" s="9">
        <v>6517.3315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>
        <v>0</v>
      </c>
      <c r="AZ6" s="14">
        <f t="shared" ref="AZ6:AZ37" si="1">E6+G6+I6+K6+M6+O6+Q6+S6+U6+W6+Y6+AA6+AC6+AE6+AG6+AI6+AK6+AM6+AO6+AQ6+AS6+AU6+AW6+AY6</f>
        <v>272924.1003</v>
      </c>
    </row>
    <row r="7" spans="1:52">
      <c r="A7" s="9" t="s">
        <v>33</v>
      </c>
      <c r="B7" s="9" t="s">
        <v>34</v>
      </c>
      <c r="C7" s="9" t="s">
        <v>37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111.7871</v>
      </c>
      <c r="K7" s="9">
        <v>44368.9771</v>
      </c>
      <c r="L7" s="9">
        <v>50779.1908</v>
      </c>
      <c r="M7" s="9">
        <v>152337.5723</v>
      </c>
      <c r="N7" s="9">
        <v>0</v>
      </c>
      <c r="O7" s="9">
        <v>0</v>
      </c>
      <c r="P7" s="9">
        <v>55.8898</v>
      </c>
      <c r="Q7" s="9">
        <v>22182.9843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14">
        <f t="shared" si="1"/>
        <v>218889.5337</v>
      </c>
    </row>
    <row r="8" spans="1:52">
      <c r="A8" s="9" t="s">
        <v>33</v>
      </c>
      <c r="B8" s="9" t="s">
        <v>34</v>
      </c>
      <c r="C8" s="9" t="s">
        <v>38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130.6926</v>
      </c>
      <c r="K8" s="9">
        <v>51872.6747</v>
      </c>
      <c r="L8" s="9">
        <v>42098.4161</v>
      </c>
      <c r="M8" s="9">
        <v>126295.2482</v>
      </c>
      <c r="N8" s="9">
        <v>0</v>
      </c>
      <c r="O8" s="9">
        <v>0</v>
      </c>
      <c r="P8" s="9">
        <v>56.7411</v>
      </c>
      <c r="Q8" s="9">
        <v>22520.8747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14">
        <f t="shared" si="1"/>
        <v>200688.7976</v>
      </c>
    </row>
    <row r="9" spans="1:52">
      <c r="A9" s="9" t="s">
        <v>33</v>
      </c>
      <c r="B9" s="9" t="s">
        <v>34</v>
      </c>
      <c r="C9" s="9" t="s">
        <v>39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168.0167</v>
      </c>
      <c r="K9" s="9">
        <v>66686.8165</v>
      </c>
      <c r="L9" s="9">
        <v>40576.9881</v>
      </c>
      <c r="M9" s="9">
        <v>121730.9643</v>
      </c>
      <c r="N9" s="9">
        <v>0</v>
      </c>
      <c r="O9" s="9">
        <v>0</v>
      </c>
      <c r="P9" s="9">
        <v>156.1206</v>
      </c>
      <c r="Q9" s="9">
        <v>61965.1933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14">
        <f t="shared" si="1"/>
        <v>250382.9741</v>
      </c>
    </row>
    <row r="10" spans="1:52">
      <c r="A10" s="9" t="s">
        <v>33</v>
      </c>
      <c r="B10" s="9" t="s">
        <v>34</v>
      </c>
      <c r="C10" s="9" t="s">
        <v>40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47.4539</v>
      </c>
      <c r="K10" s="9">
        <v>18834.7487</v>
      </c>
      <c r="L10" s="9">
        <v>53703.5699</v>
      </c>
      <c r="M10" s="9">
        <v>326855.5761</v>
      </c>
      <c r="N10" s="9">
        <v>0</v>
      </c>
      <c r="O10" s="9">
        <v>0</v>
      </c>
      <c r="P10" s="9">
        <v>154.7512</v>
      </c>
      <c r="Q10" s="9">
        <v>61421.6784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14">
        <f t="shared" si="1"/>
        <v>407112.0032</v>
      </c>
    </row>
    <row r="11" spans="1:52">
      <c r="A11" s="9" t="s">
        <v>33</v>
      </c>
      <c r="B11" s="9" t="s">
        <v>34</v>
      </c>
      <c r="C11" s="9" t="s">
        <v>41</v>
      </c>
      <c r="D11" s="9">
        <v>0</v>
      </c>
      <c r="E11" s="9">
        <v>0</v>
      </c>
      <c r="F11" s="9">
        <v>0</v>
      </c>
      <c r="G11" s="9">
        <v>0</v>
      </c>
      <c r="H11" s="9">
        <v>133.8507</v>
      </c>
      <c r="I11" s="9">
        <v>53126.1499</v>
      </c>
      <c r="J11" s="9">
        <v>13.756</v>
      </c>
      <c r="K11" s="9">
        <v>5459.8469</v>
      </c>
      <c r="L11" s="9">
        <v>0</v>
      </c>
      <c r="M11" s="9">
        <v>0</v>
      </c>
      <c r="N11" s="9">
        <v>0</v>
      </c>
      <c r="O11" s="9">
        <v>0</v>
      </c>
      <c r="P11" s="9">
        <v>46.3858</v>
      </c>
      <c r="Q11" s="9">
        <v>18410.8127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14">
        <f t="shared" si="1"/>
        <v>76996.8095</v>
      </c>
    </row>
    <row r="12" spans="1:52">
      <c r="A12" s="9" t="s">
        <v>33</v>
      </c>
      <c r="B12" s="9" t="s">
        <v>34</v>
      </c>
      <c r="C12" s="9" t="s">
        <v>42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52.6702</v>
      </c>
      <c r="K12" s="9">
        <v>20905.1335</v>
      </c>
      <c r="L12" s="9">
        <v>17360.0422</v>
      </c>
      <c r="M12" s="9">
        <v>73264.2087</v>
      </c>
      <c r="N12" s="9">
        <v>0</v>
      </c>
      <c r="O12" s="9">
        <v>0</v>
      </c>
      <c r="P12" s="9">
        <v>3.1623</v>
      </c>
      <c r="Q12" s="9">
        <v>1255.1212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14">
        <f t="shared" si="1"/>
        <v>95424.4634</v>
      </c>
    </row>
    <row r="13" spans="1:52">
      <c r="A13" s="9" t="s">
        <v>33</v>
      </c>
      <c r="B13" s="9" t="s">
        <v>34</v>
      </c>
      <c r="C13" s="9" t="s">
        <v>43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202.8094</v>
      </c>
      <c r="K13" s="9">
        <v>80496.2709</v>
      </c>
      <c r="L13" s="9">
        <v>73669.3735</v>
      </c>
      <c r="M13" s="9">
        <v>221008.1204</v>
      </c>
      <c r="N13" s="9">
        <v>0</v>
      </c>
      <c r="O13" s="9">
        <v>0</v>
      </c>
      <c r="P13" s="9">
        <v>12.986</v>
      </c>
      <c r="Q13" s="9">
        <v>5154.2132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14">
        <f t="shared" si="1"/>
        <v>306658.6045</v>
      </c>
    </row>
    <row r="14" spans="1:52">
      <c r="A14" s="9" t="s">
        <v>33</v>
      </c>
      <c r="B14" s="9" t="s">
        <v>34</v>
      </c>
      <c r="C14" s="9" t="s">
        <v>44</v>
      </c>
      <c r="D14" s="9">
        <v>0</v>
      </c>
      <c r="E14" s="9">
        <v>0</v>
      </c>
      <c r="F14" s="9">
        <v>0</v>
      </c>
      <c r="G14" s="9">
        <v>0</v>
      </c>
      <c r="H14" s="9">
        <v>900</v>
      </c>
      <c r="I14" s="9">
        <v>357215.4</v>
      </c>
      <c r="J14" s="9">
        <v>81.7263</v>
      </c>
      <c r="K14" s="9">
        <v>32437.6445</v>
      </c>
      <c r="L14" s="9">
        <v>2999.4817</v>
      </c>
      <c r="M14" s="9">
        <v>8998.445</v>
      </c>
      <c r="N14" s="9">
        <v>0</v>
      </c>
      <c r="O14" s="9">
        <v>0</v>
      </c>
      <c r="P14" s="9">
        <v>14.4184</v>
      </c>
      <c r="Q14" s="9">
        <v>5722.7515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14">
        <f t="shared" si="1"/>
        <v>404374.241</v>
      </c>
    </row>
    <row r="15" spans="1:52">
      <c r="A15" s="9" t="s">
        <v>33</v>
      </c>
      <c r="B15" s="9" t="s">
        <v>34</v>
      </c>
      <c r="C15" s="9" t="s">
        <v>45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981.1155</v>
      </c>
      <c r="K15" s="9">
        <v>389410.631</v>
      </c>
      <c r="L15" s="9">
        <v>281083.4051</v>
      </c>
      <c r="M15" s="9">
        <v>972973.2188</v>
      </c>
      <c r="N15" s="9">
        <v>0</v>
      </c>
      <c r="O15" s="9">
        <v>0</v>
      </c>
      <c r="P15" s="9">
        <v>214.376</v>
      </c>
      <c r="Q15" s="9">
        <v>85087.1127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14">
        <f t="shared" si="1"/>
        <v>1447470.9625</v>
      </c>
    </row>
    <row r="16" spans="1:52">
      <c r="A16" s="9" t="s">
        <v>33</v>
      </c>
      <c r="B16" s="9" t="s">
        <v>34</v>
      </c>
      <c r="C16" s="9" t="s">
        <v>46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59.3056</v>
      </c>
      <c r="K16" s="9">
        <v>23538.7397</v>
      </c>
      <c r="L16" s="9">
        <v>32448.5462</v>
      </c>
      <c r="M16" s="9">
        <v>98469.1566</v>
      </c>
      <c r="N16" s="9">
        <v>0</v>
      </c>
      <c r="O16" s="9">
        <v>0</v>
      </c>
      <c r="P16" s="9">
        <v>15.4756</v>
      </c>
      <c r="Q16" s="9">
        <v>6142.3457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14">
        <f t="shared" si="1"/>
        <v>128150.242</v>
      </c>
    </row>
    <row r="17" spans="1:52">
      <c r="A17" s="9" t="s">
        <v>33</v>
      </c>
      <c r="B17" s="9" t="s">
        <v>34</v>
      </c>
      <c r="C17" s="9" t="s">
        <v>47</v>
      </c>
      <c r="D17" s="9">
        <v>0</v>
      </c>
      <c r="E17" s="9">
        <v>0</v>
      </c>
      <c r="F17" s="9">
        <v>0</v>
      </c>
      <c r="G17" s="9">
        <v>0</v>
      </c>
      <c r="H17" s="9">
        <v>35.4888</v>
      </c>
      <c r="I17" s="9">
        <v>14085.7177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955.25</v>
      </c>
      <c r="W17" s="9">
        <v>379144.4565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14">
        <f t="shared" si="1"/>
        <v>393230.1742</v>
      </c>
    </row>
    <row r="18" spans="1:52">
      <c r="A18" s="9" t="s">
        <v>33</v>
      </c>
      <c r="B18" s="9" t="s">
        <v>34</v>
      </c>
      <c r="C18" s="9" t="s">
        <v>48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536.4485</v>
      </c>
      <c r="K18" s="9">
        <v>212919.618</v>
      </c>
      <c r="L18" s="9">
        <v>123330.2237</v>
      </c>
      <c r="M18" s="9">
        <v>369990.6712</v>
      </c>
      <c r="N18" s="9">
        <v>0</v>
      </c>
      <c r="O18" s="9">
        <v>0</v>
      </c>
      <c r="P18" s="9">
        <v>105.285</v>
      </c>
      <c r="Q18" s="9">
        <v>41788.2542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14">
        <f t="shared" si="1"/>
        <v>624698.5434</v>
      </c>
    </row>
    <row r="19" spans="1:52">
      <c r="A19" s="9" t="s">
        <v>33</v>
      </c>
      <c r="B19" s="9" t="s">
        <v>34</v>
      </c>
      <c r="C19" s="9" t="s">
        <v>49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24.9137</v>
      </c>
      <c r="K19" s="9">
        <v>9888.3915</v>
      </c>
      <c r="L19" s="9">
        <v>4536.3154</v>
      </c>
      <c r="M19" s="9">
        <v>14610.9707</v>
      </c>
      <c r="N19" s="9">
        <v>0</v>
      </c>
      <c r="O19" s="9">
        <v>0</v>
      </c>
      <c r="P19" s="9">
        <v>6.3303</v>
      </c>
      <c r="Q19" s="9">
        <v>2512.535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14">
        <f t="shared" si="1"/>
        <v>27011.8972</v>
      </c>
    </row>
    <row r="20" spans="1:52">
      <c r="A20" s="9" t="s">
        <v>33</v>
      </c>
      <c r="B20" s="9" t="s">
        <v>34</v>
      </c>
      <c r="C20" s="9" t="s">
        <v>50</v>
      </c>
      <c r="D20" s="9">
        <v>0</v>
      </c>
      <c r="E20" s="9">
        <v>0</v>
      </c>
      <c r="F20" s="9">
        <v>0</v>
      </c>
      <c r="G20" s="9">
        <v>0</v>
      </c>
      <c r="H20" s="9">
        <v>4139.333</v>
      </c>
      <c r="I20" s="9">
        <v>1642926.1037</v>
      </c>
      <c r="J20" s="9">
        <v>221.846</v>
      </c>
      <c r="K20" s="9">
        <v>88052.0124</v>
      </c>
      <c r="L20" s="9">
        <v>6144.9506</v>
      </c>
      <c r="M20" s="9">
        <v>18434.8518</v>
      </c>
      <c r="N20" s="9">
        <v>0</v>
      </c>
      <c r="O20" s="9">
        <v>0</v>
      </c>
      <c r="P20" s="9">
        <v>9.944</v>
      </c>
      <c r="Q20" s="9">
        <v>3946.8333</v>
      </c>
      <c r="R20" s="9">
        <v>0</v>
      </c>
      <c r="S20" s="9">
        <v>0</v>
      </c>
      <c r="T20" s="9">
        <v>0</v>
      </c>
      <c r="U20" s="9">
        <v>0</v>
      </c>
      <c r="V20" s="9">
        <v>4826.38</v>
      </c>
      <c r="W20" s="9">
        <v>1915619.1803</v>
      </c>
      <c r="X20" s="9">
        <v>0</v>
      </c>
      <c r="Y20" s="9">
        <v>0</v>
      </c>
      <c r="Z20" s="9">
        <v>0</v>
      </c>
      <c r="AA20" s="9">
        <v>0</v>
      </c>
      <c r="AB20" s="9">
        <v>545.424</v>
      </c>
      <c r="AC20" s="9">
        <v>216482.0581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14">
        <f t="shared" si="1"/>
        <v>3885461.0396</v>
      </c>
    </row>
    <row r="21" spans="1:52">
      <c r="A21" s="9" t="s">
        <v>33</v>
      </c>
      <c r="B21" s="9" t="s">
        <v>34</v>
      </c>
      <c r="C21" s="9" t="s">
        <v>51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426.1614</v>
      </c>
      <c r="K21" s="9">
        <v>169146</v>
      </c>
      <c r="L21" s="9">
        <v>18300.0258</v>
      </c>
      <c r="M21" s="9">
        <v>152734.184</v>
      </c>
      <c r="N21" s="9">
        <v>0</v>
      </c>
      <c r="O21" s="9">
        <v>0</v>
      </c>
      <c r="P21" s="9">
        <v>125.7698</v>
      </c>
      <c r="Q21" s="9">
        <v>49918.7823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14">
        <f t="shared" si="1"/>
        <v>371798.9663</v>
      </c>
    </row>
    <row r="22" spans="1:52">
      <c r="A22" s="9" t="s">
        <v>33</v>
      </c>
      <c r="B22" s="9" t="s">
        <v>34</v>
      </c>
      <c r="C22" s="9" t="s">
        <v>52</v>
      </c>
      <c r="D22" s="9">
        <v>0</v>
      </c>
      <c r="E22" s="9">
        <v>0</v>
      </c>
      <c r="F22" s="9">
        <v>0</v>
      </c>
      <c r="G22" s="9">
        <v>0</v>
      </c>
      <c r="H22" s="9">
        <v>851</v>
      </c>
      <c r="I22" s="9">
        <v>337767.006</v>
      </c>
      <c r="J22" s="9">
        <v>565.6855</v>
      </c>
      <c r="K22" s="9">
        <v>224523.9508</v>
      </c>
      <c r="L22" s="9">
        <v>247070.7174</v>
      </c>
      <c r="M22" s="9">
        <v>917806.7655</v>
      </c>
      <c r="N22" s="9">
        <v>0</v>
      </c>
      <c r="O22" s="9">
        <v>0</v>
      </c>
      <c r="P22" s="9">
        <v>16.1123</v>
      </c>
      <c r="Q22" s="9">
        <v>6395.0793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14">
        <f t="shared" si="1"/>
        <v>1486492.8016</v>
      </c>
    </row>
    <row r="23" spans="1:52">
      <c r="A23" s="9" t="s">
        <v>33</v>
      </c>
      <c r="B23" s="9" t="s">
        <v>34</v>
      </c>
      <c r="C23" s="9" t="s">
        <v>53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371.2707</v>
      </c>
      <c r="K23" s="9">
        <v>147359.5851</v>
      </c>
      <c r="L23" s="9">
        <v>168529.0919</v>
      </c>
      <c r="M23" s="9">
        <v>659098.8273</v>
      </c>
      <c r="N23" s="9">
        <v>0</v>
      </c>
      <c r="O23" s="9">
        <v>0</v>
      </c>
      <c r="P23" s="9">
        <v>86.4095</v>
      </c>
      <c r="Q23" s="9">
        <v>34296.4635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14">
        <f t="shared" si="1"/>
        <v>840754.8759</v>
      </c>
    </row>
    <row r="24" spans="1:52">
      <c r="A24" s="9" t="s">
        <v>33</v>
      </c>
      <c r="B24" s="9" t="s">
        <v>34</v>
      </c>
      <c r="C24" s="9" t="s">
        <v>54</v>
      </c>
      <c r="D24" s="9">
        <v>0</v>
      </c>
      <c r="E24" s="9">
        <v>0</v>
      </c>
      <c r="F24" s="9">
        <v>0</v>
      </c>
      <c r="G24" s="9">
        <v>0</v>
      </c>
      <c r="H24" s="9">
        <v>3706.927</v>
      </c>
      <c r="I24" s="9">
        <v>1471301.5679</v>
      </c>
      <c r="J24" s="9">
        <v>47.152</v>
      </c>
      <c r="K24" s="9">
        <v>18714.9006</v>
      </c>
      <c r="L24" s="9">
        <v>20135.2156</v>
      </c>
      <c r="M24" s="9">
        <v>105009.7633</v>
      </c>
      <c r="N24" s="9">
        <v>0</v>
      </c>
      <c r="O24" s="9">
        <v>0</v>
      </c>
      <c r="P24" s="9">
        <v>69.6292</v>
      </c>
      <c r="Q24" s="9">
        <v>27636.2552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14">
        <f t="shared" si="1"/>
        <v>1622662.487</v>
      </c>
    </row>
    <row r="25" spans="1:52">
      <c r="A25" s="9" t="s">
        <v>33</v>
      </c>
      <c r="B25" s="9" t="s">
        <v>34</v>
      </c>
      <c r="C25" s="9" t="s">
        <v>55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202.9535</v>
      </c>
      <c r="K25" s="9">
        <v>80553.4706</v>
      </c>
      <c r="L25" s="9">
        <v>36996.3505</v>
      </c>
      <c r="M25" s="9">
        <v>110989.0514</v>
      </c>
      <c r="N25" s="9">
        <v>0</v>
      </c>
      <c r="O25" s="9">
        <v>0</v>
      </c>
      <c r="P25" s="9">
        <v>20.6365</v>
      </c>
      <c r="Q25" s="9">
        <v>8190.7334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14">
        <f t="shared" si="1"/>
        <v>199733.2554</v>
      </c>
    </row>
    <row r="26" spans="1:52">
      <c r="A26" s="9" t="s">
        <v>33</v>
      </c>
      <c r="B26" s="9" t="s">
        <v>34</v>
      </c>
      <c r="C26" s="9" t="s">
        <v>56</v>
      </c>
      <c r="D26" s="9">
        <v>0</v>
      </c>
      <c r="E26" s="9">
        <v>0</v>
      </c>
      <c r="F26" s="9">
        <v>0</v>
      </c>
      <c r="G26" s="9">
        <v>0</v>
      </c>
      <c r="H26" s="9">
        <v>0.8579</v>
      </c>
      <c r="I26" s="9">
        <v>340.4936</v>
      </c>
      <c r="J26" s="9">
        <v>14.5794</v>
      </c>
      <c r="K26" s="9">
        <v>5786.6332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2204.596</v>
      </c>
      <c r="W26" s="9">
        <v>875017.38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14">
        <f t="shared" si="1"/>
        <v>881144.5068</v>
      </c>
    </row>
    <row r="27" spans="1:52">
      <c r="A27" s="9" t="s">
        <v>33</v>
      </c>
      <c r="B27" s="9" t="s">
        <v>34</v>
      </c>
      <c r="C27" s="9" t="s">
        <v>57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211.4184</v>
      </c>
      <c r="K27" s="9">
        <v>83913.2434</v>
      </c>
      <c r="L27" s="9">
        <v>8656.5902</v>
      </c>
      <c r="M27" s="9">
        <v>231954.0854</v>
      </c>
      <c r="N27" s="9">
        <v>0</v>
      </c>
      <c r="O27" s="9">
        <v>0</v>
      </c>
      <c r="P27" s="9">
        <v>6.8354</v>
      </c>
      <c r="Q27" s="9">
        <v>2713.0024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14">
        <f t="shared" si="1"/>
        <v>318580.3312</v>
      </c>
    </row>
    <row r="28" spans="1:52">
      <c r="A28" s="9" t="s">
        <v>33</v>
      </c>
      <c r="B28" s="9" t="s">
        <v>34</v>
      </c>
      <c r="C28" s="9" t="s">
        <v>58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88.1013</v>
      </c>
      <c r="K28" s="9">
        <v>34967.9298</v>
      </c>
      <c r="L28" s="9">
        <v>4109.9699</v>
      </c>
      <c r="M28" s="9">
        <v>132686.4072</v>
      </c>
      <c r="N28" s="9">
        <v>0</v>
      </c>
      <c r="O28" s="9">
        <v>0</v>
      </c>
      <c r="P28" s="9">
        <v>0.5936</v>
      </c>
      <c r="Q28" s="9">
        <v>235.6002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14">
        <f t="shared" si="1"/>
        <v>167889.9372</v>
      </c>
    </row>
    <row r="29" spans="1:52">
      <c r="A29" s="9" t="s">
        <v>33</v>
      </c>
      <c r="B29" s="9" t="s">
        <v>34</v>
      </c>
      <c r="C29" s="9" t="s">
        <v>59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95.5133</v>
      </c>
      <c r="K29" s="9">
        <v>37909.8058</v>
      </c>
      <c r="L29" s="9">
        <v>9508.7592</v>
      </c>
      <c r="M29" s="9">
        <v>160248.068</v>
      </c>
      <c r="N29" s="9">
        <v>0</v>
      </c>
      <c r="O29" s="9">
        <v>0</v>
      </c>
      <c r="P29" s="9">
        <v>2.3129</v>
      </c>
      <c r="Q29" s="9">
        <v>918.0198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14">
        <f t="shared" si="1"/>
        <v>199075.8936</v>
      </c>
    </row>
    <row r="30" spans="1:52">
      <c r="A30" s="9" t="s">
        <v>33</v>
      </c>
      <c r="B30" s="9" t="s">
        <v>34</v>
      </c>
      <c r="C30" s="9" t="s">
        <v>60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96.348</v>
      </c>
      <c r="K30" s="9">
        <v>38241.1088</v>
      </c>
      <c r="L30" s="9">
        <v>3943.772</v>
      </c>
      <c r="M30" s="9">
        <v>108644.3001</v>
      </c>
      <c r="N30" s="9">
        <v>0</v>
      </c>
      <c r="O30" s="9">
        <v>0</v>
      </c>
      <c r="P30" s="9">
        <v>0.8433</v>
      </c>
      <c r="Q30" s="9">
        <v>334.6965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14">
        <f t="shared" si="1"/>
        <v>147220.1054</v>
      </c>
    </row>
    <row r="31" spans="1:52">
      <c r="A31" s="9" t="s">
        <v>33</v>
      </c>
      <c r="B31" s="9" t="s">
        <v>34</v>
      </c>
      <c r="C31" s="9" t="s">
        <v>61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293.856</v>
      </c>
      <c r="K31" s="9">
        <v>116633.2119</v>
      </c>
      <c r="L31" s="9">
        <v>17804.8462</v>
      </c>
      <c r="M31" s="9">
        <v>284996.5972</v>
      </c>
      <c r="N31" s="9">
        <v>0</v>
      </c>
      <c r="O31" s="9">
        <v>0</v>
      </c>
      <c r="P31" s="9">
        <v>40.9251</v>
      </c>
      <c r="Q31" s="9">
        <v>16243.4257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14">
        <f t="shared" si="1"/>
        <v>417873.2348</v>
      </c>
    </row>
    <row r="32" spans="1:52">
      <c r="A32" s="9" t="s">
        <v>33</v>
      </c>
      <c r="B32" s="9" t="s">
        <v>34</v>
      </c>
      <c r="C32" s="9" t="s">
        <v>62</v>
      </c>
      <c r="D32" s="9">
        <v>0</v>
      </c>
      <c r="E32" s="9">
        <v>0</v>
      </c>
      <c r="F32" s="9">
        <v>0</v>
      </c>
      <c r="G32" s="9">
        <v>0</v>
      </c>
      <c r="H32" s="9">
        <v>915</v>
      </c>
      <c r="I32" s="9">
        <v>363168.99</v>
      </c>
      <c r="J32" s="9">
        <v>390.1184</v>
      </c>
      <c r="K32" s="9">
        <v>154840.3234</v>
      </c>
      <c r="L32" s="9">
        <v>255470.9766</v>
      </c>
      <c r="M32" s="9">
        <v>996013.5947</v>
      </c>
      <c r="N32" s="9">
        <v>0</v>
      </c>
      <c r="O32" s="9">
        <v>0</v>
      </c>
      <c r="P32" s="9">
        <v>29.2627</v>
      </c>
      <c r="Q32" s="9">
        <v>11614.554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14">
        <f t="shared" si="1"/>
        <v>1525637.4621</v>
      </c>
    </row>
    <row r="33" spans="1:52">
      <c r="A33" s="9" t="s">
        <v>33</v>
      </c>
      <c r="B33" s="9" t="s">
        <v>34</v>
      </c>
      <c r="C33" s="9" t="s">
        <v>63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39.0821</v>
      </c>
      <c r="K33" s="9">
        <v>15511.9287</v>
      </c>
      <c r="L33" s="9">
        <v>9163.081</v>
      </c>
      <c r="M33" s="9">
        <v>27489.2431</v>
      </c>
      <c r="N33" s="9">
        <v>0</v>
      </c>
      <c r="O33" s="9">
        <v>0</v>
      </c>
      <c r="P33" s="9">
        <v>14.4302</v>
      </c>
      <c r="Q33" s="9">
        <v>5727.4415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14">
        <f t="shared" si="1"/>
        <v>48728.6133</v>
      </c>
    </row>
    <row r="34" spans="1:52">
      <c r="A34" s="9" t="s">
        <v>33</v>
      </c>
      <c r="B34" s="9" t="s">
        <v>64</v>
      </c>
      <c r="C34" s="9" t="s">
        <v>65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14">
        <f t="shared" si="1"/>
        <v>0</v>
      </c>
    </row>
    <row r="35" spans="1:52">
      <c r="A35" s="9" t="s">
        <v>33</v>
      </c>
      <c r="B35" s="9" t="s">
        <v>64</v>
      </c>
      <c r="C35" s="9" t="s">
        <v>66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14">
        <f t="shared" si="1"/>
        <v>0</v>
      </c>
    </row>
    <row r="36" spans="1:52">
      <c r="A36" s="9" t="s">
        <v>33</v>
      </c>
      <c r="B36" s="9" t="s">
        <v>64</v>
      </c>
      <c r="C36" s="9" t="s">
        <v>67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0.3758</v>
      </c>
      <c r="K36" s="9">
        <v>149.1374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214.92</v>
      </c>
      <c r="W36" s="9">
        <v>85303.0375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  <c r="AX36" s="9">
        <v>0</v>
      </c>
      <c r="AY36" s="9">
        <v>0</v>
      </c>
      <c r="AZ36" s="14">
        <f t="shared" si="1"/>
        <v>85452.1749</v>
      </c>
    </row>
    <row r="37" spans="1:52">
      <c r="A37" s="9" t="s">
        <v>33</v>
      </c>
      <c r="B37" s="9" t="s">
        <v>64</v>
      </c>
      <c r="C37" s="9" t="s">
        <v>68</v>
      </c>
      <c r="D37" s="9">
        <v>0</v>
      </c>
      <c r="E37" s="9">
        <v>0</v>
      </c>
      <c r="F37" s="9">
        <v>0</v>
      </c>
      <c r="G37" s="9">
        <v>0</v>
      </c>
      <c r="H37" s="9">
        <v>0.95</v>
      </c>
      <c r="I37" s="9">
        <v>377.0607</v>
      </c>
      <c r="J37" s="9">
        <v>3.1946</v>
      </c>
      <c r="K37" s="9">
        <v>1267.9361</v>
      </c>
      <c r="L37" s="9">
        <v>0</v>
      </c>
      <c r="M37" s="9">
        <v>0</v>
      </c>
      <c r="N37" s="9">
        <v>0</v>
      </c>
      <c r="O37" s="9">
        <v>0</v>
      </c>
      <c r="P37" s="9">
        <v>22.0065</v>
      </c>
      <c r="Q37" s="9">
        <v>8734.522</v>
      </c>
      <c r="R37" s="9">
        <v>0</v>
      </c>
      <c r="S37" s="9">
        <v>0</v>
      </c>
      <c r="T37" s="9">
        <v>0</v>
      </c>
      <c r="U37" s="9">
        <v>0</v>
      </c>
      <c r="V37" s="9">
        <v>111</v>
      </c>
      <c r="W37" s="9">
        <v>44056.566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9.286</v>
      </c>
      <c r="AI37" s="9">
        <v>3685.6691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14">
        <f t="shared" si="1"/>
        <v>58121.7539</v>
      </c>
    </row>
    <row r="38" spans="1:52">
      <c r="A38" s="9" t="s">
        <v>33</v>
      </c>
      <c r="B38" s="9" t="s">
        <v>64</v>
      </c>
      <c r="C38" s="9" t="s">
        <v>69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14">
        <f t="shared" ref="AZ38:AZ69" si="2">E38+G38+I38+K38+M38+O38+Q38+S38+U38+W38+Y38+AA38+AC38+AE38+AG38+AI38+AK38+AM38+AO38+AQ38+AS38+AU38+AW38+AY38</f>
        <v>0</v>
      </c>
    </row>
    <row r="39" spans="1:52">
      <c r="A39" s="9" t="s">
        <v>33</v>
      </c>
      <c r="B39" s="9" t="s">
        <v>64</v>
      </c>
      <c r="C39" s="9" t="s">
        <v>70</v>
      </c>
      <c r="D39" s="9">
        <v>0</v>
      </c>
      <c r="E39" s="9">
        <v>0</v>
      </c>
      <c r="F39" s="9">
        <v>0</v>
      </c>
      <c r="G39" s="9">
        <v>0</v>
      </c>
      <c r="H39" s="9">
        <v>1.7418</v>
      </c>
      <c r="I39" s="9">
        <v>691.3115</v>
      </c>
      <c r="J39" s="9">
        <v>1.1807</v>
      </c>
      <c r="K39" s="9">
        <v>468.6309</v>
      </c>
      <c r="L39" s="9">
        <v>0</v>
      </c>
      <c r="M39" s="9">
        <v>0</v>
      </c>
      <c r="N39" s="9">
        <v>0</v>
      </c>
      <c r="O39" s="9">
        <v>0</v>
      </c>
      <c r="P39" s="9">
        <v>17.5532</v>
      </c>
      <c r="Q39" s="9">
        <v>6966.959</v>
      </c>
      <c r="R39" s="9">
        <v>0</v>
      </c>
      <c r="S39" s="9">
        <v>0</v>
      </c>
      <c r="T39" s="9">
        <v>0</v>
      </c>
      <c r="U39" s="9">
        <v>0</v>
      </c>
      <c r="V39" s="9">
        <v>19.2</v>
      </c>
      <c r="W39" s="9">
        <v>7620.5952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14">
        <f t="shared" si="2"/>
        <v>15747.4966</v>
      </c>
    </row>
    <row r="40" spans="1:52">
      <c r="A40" s="9" t="s">
        <v>33</v>
      </c>
      <c r="B40" s="9" t="s">
        <v>64</v>
      </c>
      <c r="C40" s="9" t="s">
        <v>71</v>
      </c>
      <c r="D40" s="9">
        <v>0</v>
      </c>
      <c r="E40" s="9">
        <v>0</v>
      </c>
      <c r="F40" s="9">
        <v>0</v>
      </c>
      <c r="G40" s="9">
        <v>0</v>
      </c>
      <c r="H40" s="9">
        <v>0.6679</v>
      </c>
      <c r="I40" s="9">
        <v>265.1086</v>
      </c>
      <c r="J40" s="9">
        <v>0.6628</v>
      </c>
      <c r="K40" s="9">
        <v>263.0534</v>
      </c>
      <c r="L40" s="9">
        <v>0</v>
      </c>
      <c r="M40" s="9">
        <v>0</v>
      </c>
      <c r="N40" s="9">
        <v>0</v>
      </c>
      <c r="O40" s="9">
        <v>0</v>
      </c>
      <c r="P40" s="9">
        <v>2.4249</v>
      </c>
      <c r="Q40" s="9">
        <v>962.4545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14">
        <f t="shared" si="2"/>
        <v>1490.6165</v>
      </c>
    </row>
    <row r="41" spans="1:52">
      <c r="A41" s="9" t="s">
        <v>33</v>
      </c>
      <c r="B41" s="9" t="s">
        <v>64</v>
      </c>
      <c r="C41" s="9" t="s">
        <v>72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14">
        <f t="shared" si="2"/>
        <v>0</v>
      </c>
    </row>
    <row r="42" spans="1:52">
      <c r="A42" s="9" t="s">
        <v>33</v>
      </c>
      <c r="B42" s="9" t="s">
        <v>73</v>
      </c>
      <c r="C42" s="9" t="s">
        <v>74</v>
      </c>
      <c r="D42" s="9">
        <v>0</v>
      </c>
      <c r="E42" s="9">
        <v>0</v>
      </c>
      <c r="F42" s="9">
        <v>0</v>
      </c>
      <c r="G42" s="9">
        <v>0</v>
      </c>
      <c r="H42" s="9">
        <v>248.2596</v>
      </c>
      <c r="I42" s="9">
        <v>98535.7248</v>
      </c>
      <c r="J42" s="9">
        <v>372.3894</v>
      </c>
      <c r="K42" s="9">
        <v>147803.5872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14">
        <f t="shared" si="2"/>
        <v>246339.312</v>
      </c>
    </row>
    <row r="43" spans="1:52">
      <c r="A43" s="9" t="s">
        <v>33</v>
      </c>
      <c r="B43" s="9" t="s">
        <v>73</v>
      </c>
      <c r="C43" s="9" t="s">
        <v>75</v>
      </c>
      <c r="D43" s="9">
        <v>0</v>
      </c>
      <c r="E43" s="9">
        <v>0</v>
      </c>
      <c r="F43" s="9">
        <v>0</v>
      </c>
      <c r="G43" s="9">
        <v>0</v>
      </c>
      <c r="H43" s="9">
        <v>856.1741</v>
      </c>
      <c r="I43" s="9">
        <v>339820.6294</v>
      </c>
      <c r="J43" s="9">
        <v>20.8178</v>
      </c>
      <c r="K43" s="9">
        <v>8262.7256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14">
        <f t="shared" si="2"/>
        <v>348083.355</v>
      </c>
    </row>
    <row r="44" spans="1:52">
      <c r="A44" s="9" t="s">
        <v>33</v>
      </c>
      <c r="B44" s="9" t="s">
        <v>73</v>
      </c>
      <c r="C44" s="9" t="s">
        <v>76</v>
      </c>
      <c r="D44" s="9">
        <v>0</v>
      </c>
      <c r="E44" s="9">
        <v>0</v>
      </c>
      <c r="F44" s="9">
        <v>0</v>
      </c>
      <c r="G44" s="9">
        <v>0</v>
      </c>
      <c r="H44" s="9">
        <v>1687.6203</v>
      </c>
      <c r="I44" s="9">
        <v>669826.6276</v>
      </c>
      <c r="J44" s="9">
        <v>36.3503</v>
      </c>
      <c r="K44" s="9">
        <v>14427.6442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18304.12</v>
      </c>
      <c r="W44" s="9">
        <v>7265015.0527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14">
        <f t="shared" si="2"/>
        <v>7949269.3245</v>
      </c>
    </row>
    <row r="45" spans="1:52">
      <c r="A45" s="9" t="s">
        <v>33</v>
      </c>
      <c r="B45" s="9" t="s">
        <v>77</v>
      </c>
      <c r="C45" s="9" t="s">
        <v>78</v>
      </c>
      <c r="D45" s="9">
        <v>0</v>
      </c>
      <c r="E45" s="9">
        <v>0</v>
      </c>
      <c r="F45" s="9">
        <v>0</v>
      </c>
      <c r="G45" s="9">
        <v>0</v>
      </c>
      <c r="H45" s="9">
        <v>8.085</v>
      </c>
      <c r="I45" s="9">
        <v>3208.9854</v>
      </c>
      <c r="J45" s="9">
        <v>22.6377</v>
      </c>
      <c r="K45" s="9">
        <v>8985.0461</v>
      </c>
      <c r="L45" s="9">
        <v>9937.4182</v>
      </c>
      <c r="M45" s="9">
        <v>48749.1937</v>
      </c>
      <c r="N45" s="9">
        <v>0</v>
      </c>
      <c r="O45" s="9">
        <v>0</v>
      </c>
      <c r="P45" s="9">
        <v>12.0742</v>
      </c>
      <c r="Q45" s="9">
        <v>4792.3394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14">
        <f t="shared" si="2"/>
        <v>65735.5646</v>
      </c>
    </row>
    <row r="46" spans="1:52">
      <c r="A46" s="9" t="s">
        <v>33</v>
      </c>
      <c r="B46" s="9" t="s">
        <v>77</v>
      </c>
      <c r="C46" s="9" t="s">
        <v>79</v>
      </c>
      <c r="D46" s="9">
        <v>0</v>
      </c>
      <c r="E46" s="9">
        <v>0</v>
      </c>
      <c r="F46" s="9">
        <v>0</v>
      </c>
      <c r="G46" s="9">
        <v>0</v>
      </c>
      <c r="H46" s="9">
        <v>209.3522</v>
      </c>
      <c r="I46" s="9">
        <v>83093.1415</v>
      </c>
      <c r="J46" s="9">
        <v>39.4993</v>
      </c>
      <c r="K46" s="9">
        <v>15677.4897</v>
      </c>
      <c r="L46" s="9">
        <v>7941.3871</v>
      </c>
      <c r="M46" s="9">
        <v>334772.5079</v>
      </c>
      <c r="N46" s="9">
        <v>0</v>
      </c>
      <c r="O46" s="9">
        <v>0</v>
      </c>
      <c r="P46" s="9">
        <v>12.9692</v>
      </c>
      <c r="Q46" s="9">
        <v>5147.5433</v>
      </c>
      <c r="R46" s="9">
        <v>0</v>
      </c>
      <c r="S46" s="9">
        <v>0</v>
      </c>
      <c r="T46" s="9">
        <v>0</v>
      </c>
      <c r="U46" s="9">
        <v>0</v>
      </c>
      <c r="V46" s="9">
        <v>145.08</v>
      </c>
      <c r="W46" s="9">
        <v>57583.1225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  <c r="AX46" s="9">
        <v>0</v>
      </c>
      <c r="AY46" s="9">
        <v>0</v>
      </c>
      <c r="AZ46" s="14">
        <f t="shared" si="2"/>
        <v>496273.8049</v>
      </c>
    </row>
    <row r="47" spans="1:52">
      <c r="A47" s="9" t="s">
        <v>33</v>
      </c>
      <c r="B47" s="9" t="s">
        <v>77</v>
      </c>
      <c r="C47" s="9" t="s">
        <v>80</v>
      </c>
      <c r="D47" s="9">
        <v>0</v>
      </c>
      <c r="E47" s="9">
        <v>0</v>
      </c>
      <c r="F47" s="9">
        <v>0</v>
      </c>
      <c r="G47" s="9">
        <v>0</v>
      </c>
      <c r="H47" s="9">
        <v>3.4209</v>
      </c>
      <c r="I47" s="9">
        <v>1357.7646</v>
      </c>
      <c r="J47" s="9">
        <v>3.9158</v>
      </c>
      <c r="K47" s="9">
        <v>1554.1871</v>
      </c>
      <c r="L47" s="9">
        <v>489.9572</v>
      </c>
      <c r="M47" s="9">
        <v>91593.7078</v>
      </c>
      <c r="N47" s="9">
        <v>0</v>
      </c>
      <c r="O47" s="9">
        <v>0</v>
      </c>
      <c r="P47" s="9">
        <v>11.4615</v>
      </c>
      <c r="Q47" s="9">
        <v>4549.1559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0</v>
      </c>
      <c r="AY47" s="9">
        <v>0</v>
      </c>
      <c r="AZ47" s="14">
        <f t="shared" si="2"/>
        <v>99054.8154</v>
      </c>
    </row>
    <row r="48" spans="1:52">
      <c r="A48" s="9" t="s">
        <v>33</v>
      </c>
      <c r="B48" s="9" t="s">
        <v>77</v>
      </c>
      <c r="C48" s="9" t="s">
        <v>81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258.9353</v>
      </c>
      <c r="K48" s="9">
        <v>102772.9829</v>
      </c>
      <c r="L48" s="9">
        <v>33970.5205</v>
      </c>
      <c r="M48" s="9">
        <v>319295.5046</v>
      </c>
      <c r="N48" s="9">
        <v>0</v>
      </c>
      <c r="O48" s="9">
        <v>0</v>
      </c>
      <c r="P48" s="9">
        <v>18.1811</v>
      </c>
      <c r="Q48" s="9">
        <v>7216.1812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14">
        <f t="shared" si="2"/>
        <v>429284.6687</v>
      </c>
    </row>
    <row r="49" spans="1:52">
      <c r="A49" s="9" t="s">
        <v>33</v>
      </c>
      <c r="B49" s="9" t="s">
        <v>77</v>
      </c>
      <c r="C49" s="9" t="s">
        <v>82</v>
      </c>
      <c r="D49" s="9">
        <v>0</v>
      </c>
      <c r="E49" s="9">
        <v>0</v>
      </c>
      <c r="F49" s="9">
        <v>0</v>
      </c>
      <c r="G49" s="9">
        <v>0</v>
      </c>
      <c r="H49" s="9">
        <v>1.3691</v>
      </c>
      <c r="I49" s="9">
        <v>543.4188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0.6436</v>
      </c>
      <c r="Q49" s="9">
        <v>255.4446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0</v>
      </c>
      <c r="AZ49" s="14">
        <f t="shared" si="2"/>
        <v>798.8634</v>
      </c>
    </row>
    <row r="50" spans="1:52">
      <c r="A50" s="9" t="s">
        <v>33</v>
      </c>
      <c r="B50" s="9" t="s">
        <v>77</v>
      </c>
      <c r="C50" s="9" t="s">
        <v>83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15.0674</v>
      </c>
      <c r="K50" s="9">
        <v>5980.3311</v>
      </c>
      <c r="L50" s="9">
        <v>598.1776</v>
      </c>
      <c r="M50" s="9">
        <v>1794.5328</v>
      </c>
      <c r="N50" s="9">
        <v>0</v>
      </c>
      <c r="O50" s="9">
        <v>0</v>
      </c>
      <c r="P50" s="9">
        <v>13.7457</v>
      </c>
      <c r="Q50" s="9">
        <v>5455.731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14">
        <f t="shared" si="2"/>
        <v>13230.5949</v>
      </c>
    </row>
    <row r="51" spans="1:52">
      <c r="A51" s="9" t="s">
        <v>33</v>
      </c>
      <c r="B51" s="9" t="s">
        <v>77</v>
      </c>
      <c r="C51" s="9" t="s">
        <v>84</v>
      </c>
      <c r="D51" s="9">
        <v>0</v>
      </c>
      <c r="E51" s="9">
        <v>0</v>
      </c>
      <c r="F51" s="9">
        <v>0</v>
      </c>
      <c r="G51" s="9">
        <v>0</v>
      </c>
      <c r="H51" s="9">
        <v>0.2596</v>
      </c>
      <c r="I51" s="9">
        <v>103.0365</v>
      </c>
      <c r="J51" s="9">
        <v>0.1425</v>
      </c>
      <c r="K51" s="9">
        <v>56.5579</v>
      </c>
      <c r="L51" s="9">
        <v>0</v>
      </c>
      <c r="M51" s="9">
        <v>0</v>
      </c>
      <c r="N51" s="9">
        <v>0</v>
      </c>
      <c r="O51" s="9">
        <v>0</v>
      </c>
      <c r="P51" s="9">
        <v>0.7401</v>
      </c>
      <c r="Q51" s="9">
        <v>293.7657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14">
        <f t="shared" si="2"/>
        <v>453.3601</v>
      </c>
    </row>
    <row r="52" spans="1:52">
      <c r="A52" s="9" t="s">
        <v>33</v>
      </c>
      <c r="B52" s="9" t="s">
        <v>77</v>
      </c>
      <c r="C52" s="9" t="s">
        <v>85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51.8971</v>
      </c>
      <c r="K52" s="9">
        <v>20598.259</v>
      </c>
      <c r="L52" s="9">
        <v>17129.5074</v>
      </c>
      <c r="M52" s="9">
        <v>207548.4374</v>
      </c>
      <c r="N52" s="9">
        <v>0</v>
      </c>
      <c r="O52" s="9">
        <v>0</v>
      </c>
      <c r="P52" s="9">
        <v>10.0724</v>
      </c>
      <c r="Q52" s="9">
        <v>3997.8015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14">
        <f t="shared" si="2"/>
        <v>232144.4979</v>
      </c>
    </row>
    <row r="53" spans="1:52">
      <c r="A53" s="9" t="s">
        <v>33</v>
      </c>
      <c r="B53" s="9" t="s">
        <v>77</v>
      </c>
      <c r="C53" s="9" t="s">
        <v>86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28.9781</v>
      </c>
      <c r="K53" s="9">
        <v>11501.5941</v>
      </c>
      <c r="L53" s="9">
        <v>2114.798</v>
      </c>
      <c r="M53" s="9">
        <v>259061.5159</v>
      </c>
      <c r="N53" s="9">
        <v>0</v>
      </c>
      <c r="O53" s="9">
        <v>0</v>
      </c>
      <c r="P53" s="9">
        <v>18.0158</v>
      </c>
      <c r="Q53" s="9">
        <v>7150.5888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0</v>
      </c>
      <c r="AU53" s="9">
        <v>0</v>
      </c>
      <c r="AV53" s="9">
        <v>0</v>
      </c>
      <c r="AW53" s="9">
        <v>0</v>
      </c>
      <c r="AX53" s="9">
        <v>0</v>
      </c>
      <c r="AY53" s="9">
        <v>0</v>
      </c>
      <c r="AZ53" s="14">
        <f t="shared" si="2"/>
        <v>277713.6988</v>
      </c>
    </row>
    <row r="54" spans="1:52">
      <c r="A54" s="9" t="s">
        <v>33</v>
      </c>
      <c r="B54" s="9" t="s">
        <v>77</v>
      </c>
      <c r="C54" s="9" t="s">
        <v>87</v>
      </c>
      <c r="D54" s="9">
        <v>0</v>
      </c>
      <c r="E54" s="9">
        <v>0</v>
      </c>
      <c r="F54" s="9">
        <v>0</v>
      </c>
      <c r="G54" s="9">
        <v>0</v>
      </c>
      <c r="H54" s="9">
        <v>4.402</v>
      </c>
      <c r="I54" s="9">
        <v>1747.1643</v>
      </c>
      <c r="J54" s="9">
        <v>3.6473</v>
      </c>
      <c r="K54" s="9">
        <v>1447.6392</v>
      </c>
      <c r="L54" s="9">
        <v>0</v>
      </c>
      <c r="M54" s="9">
        <v>0</v>
      </c>
      <c r="N54" s="9">
        <v>0</v>
      </c>
      <c r="O54" s="9">
        <v>0</v>
      </c>
      <c r="P54" s="9">
        <v>1.0426</v>
      </c>
      <c r="Q54" s="9">
        <v>413.7997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0</v>
      </c>
      <c r="AQ54" s="9">
        <v>0</v>
      </c>
      <c r="AR54" s="9">
        <v>0</v>
      </c>
      <c r="AS54" s="9">
        <v>0</v>
      </c>
      <c r="AT54" s="9">
        <v>0</v>
      </c>
      <c r="AU54" s="9">
        <v>0</v>
      </c>
      <c r="AV54" s="9">
        <v>0</v>
      </c>
      <c r="AW54" s="9">
        <v>0</v>
      </c>
      <c r="AX54" s="9">
        <v>0</v>
      </c>
      <c r="AY54" s="9">
        <v>0</v>
      </c>
      <c r="AZ54" s="14">
        <f t="shared" si="2"/>
        <v>3608.6032</v>
      </c>
    </row>
    <row r="55" spans="1:52">
      <c r="A55" s="9" t="s">
        <v>33</v>
      </c>
      <c r="B55" s="9" t="s">
        <v>77</v>
      </c>
      <c r="C55" s="9" t="s">
        <v>88</v>
      </c>
      <c r="D55" s="9">
        <v>0</v>
      </c>
      <c r="E55" s="9">
        <v>0</v>
      </c>
      <c r="F55" s="9">
        <v>0</v>
      </c>
      <c r="G55" s="9">
        <v>0</v>
      </c>
      <c r="H55" s="9">
        <v>2.3243</v>
      </c>
      <c r="I55" s="9">
        <v>922.5426</v>
      </c>
      <c r="J55" s="9">
        <v>0.1197</v>
      </c>
      <c r="K55" s="9">
        <v>47.4954</v>
      </c>
      <c r="L55" s="9">
        <v>14.6274</v>
      </c>
      <c r="M55" s="9">
        <v>43.8821</v>
      </c>
      <c r="N55" s="9">
        <v>0</v>
      </c>
      <c r="O55" s="9">
        <v>0</v>
      </c>
      <c r="P55" s="9">
        <v>5.3836</v>
      </c>
      <c r="Q55" s="9">
        <v>2136.7661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0</v>
      </c>
      <c r="AZ55" s="14">
        <f t="shared" si="2"/>
        <v>3150.6862</v>
      </c>
    </row>
    <row r="56" spans="1:52">
      <c r="A56" s="9" t="s">
        <v>33</v>
      </c>
      <c r="B56" s="9" t="s">
        <v>77</v>
      </c>
      <c r="C56" s="9" t="s">
        <v>89</v>
      </c>
      <c r="D56" s="9">
        <v>0</v>
      </c>
      <c r="E56" s="9">
        <v>0</v>
      </c>
      <c r="F56" s="9">
        <v>0</v>
      </c>
      <c r="G56" s="9">
        <v>0</v>
      </c>
      <c r="H56" s="9">
        <v>0.1928</v>
      </c>
      <c r="I56" s="9">
        <v>76.5282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2.5352</v>
      </c>
      <c r="Q56" s="9">
        <v>1006.2522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14">
        <f t="shared" si="2"/>
        <v>1082.7804</v>
      </c>
    </row>
    <row r="57" spans="1:52">
      <c r="A57" s="9" t="s">
        <v>33</v>
      </c>
      <c r="B57" s="9" t="s">
        <v>77</v>
      </c>
      <c r="C57" s="9" t="s">
        <v>90</v>
      </c>
      <c r="D57" s="9">
        <v>0</v>
      </c>
      <c r="E57" s="9">
        <v>0</v>
      </c>
      <c r="F57" s="9">
        <v>0</v>
      </c>
      <c r="G57" s="9">
        <v>0</v>
      </c>
      <c r="H57" s="9">
        <v>1.4863</v>
      </c>
      <c r="I57" s="9">
        <v>589.9276</v>
      </c>
      <c r="J57" s="9">
        <v>2.1309</v>
      </c>
      <c r="K57" s="9">
        <v>845.7813</v>
      </c>
      <c r="L57" s="9">
        <v>0.1861</v>
      </c>
      <c r="M57" s="9">
        <v>0.5583</v>
      </c>
      <c r="N57" s="9">
        <v>0</v>
      </c>
      <c r="O57" s="9">
        <v>0</v>
      </c>
      <c r="P57" s="9">
        <v>0.1562</v>
      </c>
      <c r="Q57" s="9">
        <v>61.9967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0</v>
      </c>
      <c r="AU57" s="9">
        <v>0</v>
      </c>
      <c r="AV57" s="9">
        <v>0</v>
      </c>
      <c r="AW57" s="9">
        <v>0</v>
      </c>
      <c r="AX57" s="9">
        <v>0</v>
      </c>
      <c r="AY57" s="9">
        <v>0</v>
      </c>
      <c r="AZ57" s="14">
        <f t="shared" si="2"/>
        <v>1498.2639</v>
      </c>
    </row>
    <row r="58" spans="1:52">
      <c r="A58" s="9" t="s">
        <v>33</v>
      </c>
      <c r="B58" s="9" t="s">
        <v>77</v>
      </c>
      <c r="C58" s="9" t="s">
        <v>91</v>
      </c>
      <c r="D58" s="9">
        <v>0</v>
      </c>
      <c r="E58" s="9">
        <v>0</v>
      </c>
      <c r="F58" s="9">
        <v>0</v>
      </c>
      <c r="G58" s="9">
        <v>0</v>
      </c>
      <c r="H58" s="9">
        <v>1.0289</v>
      </c>
      <c r="I58" s="9">
        <v>408.3597</v>
      </c>
      <c r="J58" s="9">
        <v>0.1516</v>
      </c>
      <c r="K58" s="9">
        <v>60.1551</v>
      </c>
      <c r="L58" s="9">
        <v>54.939</v>
      </c>
      <c r="M58" s="9">
        <v>164.817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0</v>
      </c>
      <c r="AZ58" s="14">
        <f t="shared" si="2"/>
        <v>633.3318</v>
      </c>
    </row>
    <row r="59" spans="1:52">
      <c r="A59" s="9" t="s">
        <v>33</v>
      </c>
      <c r="B59" s="9" t="s">
        <v>77</v>
      </c>
      <c r="C59" s="9" t="s">
        <v>92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245.7307</v>
      </c>
      <c r="K59" s="9">
        <v>97531.9924</v>
      </c>
      <c r="L59" s="9">
        <v>24605.6713</v>
      </c>
      <c r="M59" s="9">
        <v>278049.7011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14">
        <f t="shared" si="2"/>
        <v>375581.6935</v>
      </c>
    </row>
    <row r="60" spans="1:52">
      <c r="A60" s="9" t="s">
        <v>33</v>
      </c>
      <c r="B60" s="9" t="s">
        <v>77</v>
      </c>
      <c r="C60" s="9" t="s">
        <v>93</v>
      </c>
      <c r="D60" s="9">
        <v>0</v>
      </c>
      <c r="E60" s="9">
        <v>0</v>
      </c>
      <c r="F60" s="9">
        <v>0</v>
      </c>
      <c r="G60" s="9">
        <v>0</v>
      </c>
      <c r="H60" s="9">
        <v>69.9869</v>
      </c>
      <c r="I60" s="9">
        <v>27778.2072</v>
      </c>
      <c r="J60" s="9">
        <v>19.4681</v>
      </c>
      <c r="K60" s="9">
        <v>7727.0144</v>
      </c>
      <c r="L60" s="9">
        <v>3655.6669</v>
      </c>
      <c r="M60" s="9">
        <v>312360.5788</v>
      </c>
      <c r="N60" s="9">
        <v>0</v>
      </c>
      <c r="O60" s="9">
        <v>0</v>
      </c>
      <c r="P60" s="9">
        <v>30.9152</v>
      </c>
      <c r="Q60" s="9">
        <v>12270.4221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14">
        <f t="shared" si="2"/>
        <v>360136.2225</v>
      </c>
    </row>
    <row r="61" spans="1:52">
      <c r="A61" s="9" t="s">
        <v>33</v>
      </c>
      <c r="B61" s="9" t="s">
        <v>77</v>
      </c>
      <c r="C61" s="9" t="s">
        <v>94</v>
      </c>
      <c r="D61" s="9">
        <v>0</v>
      </c>
      <c r="E61" s="9">
        <v>0</v>
      </c>
      <c r="F61" s="9">
        <v>0</v>
      </c>
      <c r="G61" s="9">
        <v>0</v>
      </c>
      <c r="H61" s="9">
        <v>0.8619</v>
      </c>
      <c r="I61" s="9">
        <v>342.0851</v>
      </c>
      <c r="J61" s="9">
        <v>1.86</v>
      </c>
      <c r="K61" s="9">
        <v>738.2475</v>
      </c>
      <c r="L61" s="9">
        <v>155.6832</v>
      </c>
      <c r="M61" s="9">
        <v>467.0496</v>
      </c>
      <c r="N61" s="9">
        <v>0</v>
      </c>
      <c r="O61" s="9">
        <v>0</v>
      </c>
      <c r="P61" s="9">
        <v>0.5434</v>
      </c>
      <c r="Q61" s="9">
        <v>215.6699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14">
        <f t="shared" si="2"/>
        <v>1763.0521</v>
      </c>
    </row>
    <row r="62" spans="1:52">
      <c r="A62" s="9" t="s">
        <v>33</v>
      </c>
      <c r="B62" s="9" t="s">
        <v>77</v>
      </c>
      <c r="C62" s="9" t="s">
        <v>95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4.2268</v>
      </c>
      <c r="K62" s="9">
        <v>1677.6359</v>
      </c>
      <c r="L62" s="9">
        <v>101.0429</v>
      </c>
      <c r="M62" s="9">
        <v>303.1288</v>
      </c>
      <c r="N62" s="9">
        <v>0</v>
      </c>
      <c r="O62" s="9">
        <v>0</v>
      </c>
      <c r="P62" s="9">
        <v>2.6089</v>
      </c>
      <c r="Q62" s="9">
        <v>1035.4922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9">
        <v>0</v>
      </c>
      <c r="AQ62" s="9">
        <v>0</v>
      </c>
      <c r="AR62" s="9">
        <v>0</v>
      </c>
      <c r="AS62" s="9">
        <v>0</v>
      </c>
      <c r="AT62" s="9">
        <v>0</v>
      </c>
      <c r="AU62" s="9">
        <v>0</v>
      </c>
      <c r="AV62" s="9">
        <v>0</v>
      </c>
      <c r="AW62" s="9">
        <v>0</v>
      </c>
      <c r="AX62" s="9">
        <v>0</v>
      </c>
      <c r="AY62" s="9">
        <v>0</v>
      </c>
      <c r="AZ62" s="14">
        <f t="shared" si="2"/>
        <v>3016.2569</v>
      </c>
    </row>
    <row r="63" spans="1:52">
      <c r="A63" s="9" t="s">
        <v>33</v>
      </c>
      <c r="B63" s="9" t="s">
        <v>77</v>
      </c>
      <c r="C63" s="9" t="s">
        <v>96</v>
      </c>
      <c r="D63" s="9">
        <v>0</v>
      </c>
      <c r="E63" s="9">
        <v>0</v>
      </c>
      <c r="F63" s="9">
        <v>0</v>
      </c>
      <c r="G63" s="9">
        <v>0</v>
      </c>
      <c r="H63" s="9">
        <v>116.5299</v>
      </c>
      <c r="I63" s="9">
        <v>46251.4336</v>
      </c>
      <c r="J63" s="9">
        <v>62.6379</v>
      </c>
      <c r="K63" s="9">
        <v>24861.3702</v>
      </c>
      <c r="L63" s="9">
        <v>2592.0404</v>
      </c>
      <c r="M63" s="9">
        <v>108325.0741</v>
      </c>
      <c r="N63" s="9">
        <v>0</v>
      </c>
      <c r="O63" s="9">
        <v>0</v>
      </c>
      <c r="P63" s="9">
        <v>17.0969</v>
      </c>
      <c r="Q63" s="9">
        <v>6785.8442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14">
        <f t="shared" si="2"/>
        <v>186223.7221</v>
      </c>
    </row>
    <row r="64" spans="1:52">
      <c r="A64" s="9" t="s">
        <v>33</v>
      </c>
      <c r="B64" s="9" t="s">
        <v>77</v>
      </c>
      <c r="C64" s="9" t="s">
        <v>97</v>
      </c>
      <c r="D64" s="9">
        <v>0</v>
      </c>
      <c r="E64" s="9">
        <v>0</v>
      </c>
      <c r="F64" s="9">
        <v>0</v>
      </c>
      <c r="G64" s="9">
        <v>0</v>
      </c>
      <c r="H64" s="9">
        <v>1.3718</v>
      </c>
      <c r="I64" s="9">
        <v>544.4584</v>
      </c>
      <c r="J64" s="9">
        <v>1.4668</v>
      </c>
      <c r="K64" s="9">
        <v>582.192</v>
      </c>
      <c r="L64" s="9">
        <v>307.8513</v>
      </c>
      <c r="M64" s="9">
        <v>923.554</v>
      </c>
      <c r="N64" s="9">
        <v>0</v>
      </c>
      <c r="O64" s="9">
        <v>0</v>
      </c>
      <c r="P64" s="9">
        <v>0.9966</v>
      </c>
      <c r="Q64" s="9">
        <v>395.5605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S64" s="9">
        <v>0</v>
      </c>
      <c r="AT64" s="9">
        <v>0</v>
      </c>
      <c r="AU64" s="9">
        <v>0</v>
      </c>
      <c r="AV64" s="9">
        <v>0</v>
      </c>
      <c r="AW64" s="9">
        <v>0</v>
      </c>
      <c r="AX64" s="9">
        <v>0</v>
      </c>
      <c r="AY64" s="9">
        <v>0</v>
      </c>
      <c r="AZ64" s="14">
        <f t="shared" si="2"/>
        <v>2445.7649</v>
      </c>
    </row>
    <row r="65" spans="1:52">
      <c r="A65" s="9" t="s">
        <v>33</v>
      </c>
      <c r="B65" s="9" t="s">
        <v>77</v>
      </c>
      <c r="C65" s="9" t="s">
        <v>98</v>
      </c>
      <c r="D65" s="9">
        <v>0</v>
      </c>
      <c r="E65" s="9">
        <v>0</v>
      </c>
      <c r="F65" s="9">
        <v>0</v>
      </c>
      <c r="G65" s="9">
        <v>0</v>
      </c>
      <c r="H65" s="9">
        <v>78.5103</v>
      </c>
      <c r="I65" s="9">
        <v>31161.1974</v>
      </c>
      <c r="J65" s="9">
        <v>0.7712</v>
      </c>
      <c r="K65" s="9">
        <v>306.0764</v>
      </c>
      <c r="L65" s="9">
        <v>442.2383</v>
      </c>
      <c r="M65" s="9">
        <v>67685.6673</v>
      </c>
      <c r="N65" s="9">
        <v>0</v>
      </c>
      <c r="O65" s="9">
        <v>0</v>
      </c>
      <c r="P65" s="9">
        <v>2.5715</v>
      </c>
      <c r="Q65" s="9">
        <v>1020.6523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0</v>
      </c>
      <c r="AU65" s="9">
        <v>0</v>
      </c>
      <c r="AV65" s="9">
        <v>0</v>
      </c>
      <c r="AW65" s="9">
        <v>0</v>
      </c>
      <c r="AX65" s="9">
        <v>0</v>
      </c>
      <c r="AY65" s="9">
        <v>0</v>
      </c>
      <c r="AZ65" s="14">
        <f t="shared" si="2"/>
        <v>100173.5934</v>
      </c>
    </row>
    <row r="66" spans="1:52">
      <c r="A66" s="9" t="s">
        <v>33</v>
      </c>
      <c r="B66" s="9" t="s">
        <v>77</v>
      </c>
      <c r="C66" s="9" t="s">
        <v>99</v>
      </c>
      <c r="D66" s="9">
        <v>0</v>
      </c>
      <c r="E66" s="9">
        <v>0</v>
      </c>
      <c r="F66" s="9">
        <v>0</v>
      </c>
      <c r="G66" s="9">
        <v>0</v>
      </c>
      <c r="H66" s="9">
        <v>3.3919</v>
      </c>
      <c r="I66" s="9">
        <v>1346.2629</v>
      </c>
      <c r="J66" s="9">
        <v>2.1288</v>
      </c>
      <c r="K66" s="9">
        <v>844.9144</v>
      </c>
      <c r="L66" s="9">
        <v>0</v>
      </c>
      <c r="M66" s="9">
        <v>0</v>
      </c>
      <c r="N66" s="9">
        <v>0</v>
      </c>
      <c r="O66" s="9">
        <v>0</v>
      </c>
      <c r="P66" s="9">
        <v>0.1569</v>
      </c>
      <c r="Q66" s="9">
        <v>62.2756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9">
        <v>0</v>
      </c>
      <c r="AO66" s="9">
        <v>0</v>
      </c>
      <c r="AP66" s="9">
        <v>0</v>
      </c>
      <c r="AQ66" s="9">
        <v>0</v>
      </c>
      <c r="AR66" s="9">
        <v>0</v>
      </c>
      <c r="AS66" s="9">
        <v>0</v>
      </c>
      <c r="AT66" s="9">
        <v>0</v>
      </c>
      <c r="AU66" s="9">
        <v>0</v>
      </c>
      <c r="AV66" s="9">
        <v>0</v>
      </c>
      <c r="AW66" s="9">
        <v>0</v>
      </c>
      <c r="AX66" s="9">
        <v>0</v>
      </c>
      <c r="AY66" s="9">
        <v>0</v>
      </c>
      <c r="AZ66" s="14">
        <f t="shared" si="2"/>
        <v>2253.4529</v>
      </c>
    </row>
    <row r="67" spans="1:52">
      <c r="A67" s="9" t="s">
        <v>33</v>
      </c>
      <c r="B67" s="9" t="s">
        <v>77</v>
      </c>
      <c r="C67" s="9" t="s">
        <v>100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259.6867</v>
      </c>
      <c r="K67" s="9">
        <v>103071.2101</v>
      </c>
      <c r="L67" s="9">
        <v>5992.3319</v>
      </c>
      <c r="M67" s="9">
        <v>440287.9842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0</v>
      </c>
      <c r="AT67" s="9">
        <v>0</v>
      </c>
      <c r="AU67" s="9">
        <v>0</v>
      </c>
      <c r="AV67" s="9">
        <v>0</v>
      </c>
      <c r="AW67" s="9">
        <v>0</v>
      </c>
      <c r="AX67" s="9">
        <v>0</v>
      </c>
      <c r="AY67" s="9">
        <v>0</v>
      </c>
      <c r="AZ67" s="14">
        <f t="shared" si="2"/>
        <v>543359.1943</v>
      </c>
    </row>
    <row r="68" spans="1:52">
      <c r="A68" s="9" t="s">
        <v>33</v>
      </c>
      <c r="B68" s="9" t="s">
        <v>101</v>
      </c>
      <c r="C68" s="9" t="s">
        <v>102</v>
      </c>
      <c r="D68" s="9">
        <v>0</v>
      </c>
      <c r="E68" s="9">
        <v>0</v>
      </c>
      <c r="F68" s="9">
        <v>0</v>
      </c>
      <c r="G68" s="9">
        <v>0</v>
      </c>
      <c r="H68" s="9">
        <v>7.6915</v>
      </c>
      <c r="I68" s="9">
        <v>3052.7914</v>
      </c>
      <c r="J68" s="9">
        <v>38.3293</v>
      </c>
      <c r="K68" s="9">
        <v>15213.1252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9">
        <v>0</v>
      </c>
      <c r="AQ68" s="9">
        <v>0</v>
      </c>
      <c r="AR68" s="9">
        <v>0</v>
      </c>
      <c r="AS68" s="9">
        <v>0</v>
      </c>
      <c r="AT68" s="9">
        <v>82.9076</v>
      </c>
      <c r="AU68" s="9">
        <v>32906.5382</v>
      </c>
      <c r="AV68" s="9">
        <v>0</v>
      </c>
      <c r="AW68" s="9">
        <v>0</v>
      </c>
      <c r="AX68" s="9">
        <v>0</v>
      </c>
      <c r="AY68" s="9">
        <v>0</v>
      </c>
      <c r="AZ68" s="14">
        <f t="shared" si="2"/>
        <v>51172.4548</v>
      </c>
    </row>
    <row r="69" spans="1:52">
      <c r="A69" s="9" t="s">
        <v>33</v>
      </c>
      <c r="B69" s="9" t="s">
        <v>101</v>
      </c>
      <c r="C69" s="9" t="s">
        <v>103</v>
      </c>
      <c r="D69" s="9">
        <v>0</v>
      </c>
      <c r="E69" s="9">
        <v>0</v>
      </c>
      <c r="F69" s="9">
        <v>0</v>
      </c>
      <c r="G69" s="9">
        <v>0</v>
      </c>
      <c r="H69" s="9">
        <v>6.3706</v>
      </c>
      <c r="I69" s="9">
        <v>2528.5135</v>
      </c>
      <c r="J69" s="9">
        <v>5.292</v>
      </c>
      <c r="K69" s="9">
        <v>2100.4266</v>
      </c>
      <c r="L69" s="9">
        <v>0</v>
      </c>
      <c r="M69" s="9">
        <v>0</v>
      </c>
      <c r="N69" s="9">
        <v>0</v>
      </c>
      <c r="O69" s="9">
        <v>0</v>
      </c>
      <c r="P69" s="9">
        <v>3.1976</v>
      </c>
      <c r="Q69" s="9">
        <v>1269.1639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0</v>
      </c>
      <c r="AT69" s="9">
        <v>3.3257</v>
      </c>
      <c r="AU69" s="9">
        <v>1319.9764</v>
      </c>
      <c r="AV69" s="9">
        <v>0</v>
      </c>
      <c r="AW69" s="9">
        <v>0</v>
      </c>
      <c r="AX69" s="9">
        <v>0</v>
      </c>
      <c r="AY69" s="9">
        <v>0</v>
      </c>
      <c r="AZ69" s="14">
        <f t="shared" si="2"/>
        <v>7218.0804</v>
      </c>
    </row>
    <row r="70" spans="1:52">
      <c r="A70" s="9" t="s">
        <v>33</v>
      </c>
      <c r="B70" s="9" t="s">
        <v>101</v>
      </c>
      <c r="C70" s="9" t="s">
        <v>104</v>
      </c>
      <c r="D70" s="9">
        <v>0</v>
      </c>
      <c r="E70" s="9">
        <v>0</v>
      </c>
      <c r="F70" s="9">
        <v>0</v>
      </c>
      <c r="G70" s="9">
        <v>0</v>
      </c>
      <c r="H70" s="9">
        <v>16.7482</v>
      </c>
      <c r="I70" s="9">
        <v>6647.4611</v>
      </c>
      <c r="J70" s="9">
        <v>25.1223</v>
      </c>
      <c r="K70" s="9">
        <v>9971.1916</v>
      </c>
      <c r="L70" s="9">
        <v>0</v>
      </c>
      <c r="M70" s="9">
        <v>0</v>
      </c>
      <c r="N70" s="9">
        <v>0</v>
      </c>
      <c r="O70" s="9">
        <v>0</v>
      </c>
      <c r="P70" s="9">
        <v>16.7482</v>
      </c>
      <c r="Q70" s="9">
        <v>6647.4611</v>
      </c>
      <c r="R70" s="9">
        <v>0</v>
      </c>
      <c r="S70" s="9">
        <v>0</v>
      </c>
      <c r="T70" s="9">
        <v>0</v>
      </c>
      <c r="U70" s="9">
        <v>0</v>
      </c>
      <c r="V70" s="9">
        <v>9.018</v>
      </c>
      <c r="W70" s="9">
        <v>3579.2983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0</v>
      </c>
      <c r="AT70" s="9">
        <v>12.881</v>
      </c>
      <c r="AU70" s="9">
        <v>5112.5462</v>
      </c>
      <c r="AV70" s="9">
        <v>0</v>
      </c>
      <c r="AW70" s="9">
        <v>0</v>
      </c>
      <c r="AX70" s="9">
        <v>0</v>
      </c>
      <c r="AY70" s="9">
        <v>0</v>
      </c>
      <c r="AZ70" s="14">
        <f t="shared" ref="AZ70:AZ101" si="3">E70+G70+I70+K70+M70+O70+Q70+S70+U70+W70+Y70+AA70+AC70+AE70+AG70+AI70+AK70+AM70+AO70+AQ70+AS70+AU70+AW70+AY70</f>
        <v>31957.9583</v>
      </c>
    </row>
    <row r="71" spans="1:52">
      <c r="A71" s="9" t="s">
        <v>33</v>
      </c>
      <c r="B71" s="9" t="s">
        <v>101</v>
      </c>
      <c r="C71" s="9" t="s">
        <v>105</v>
      </c>
      <c r="D71" s="9">
        <v>0</v>
      </c>
      <c r="E71" s="9">
        <v>0</v>
      </c>
      <c r="F71" s="9">
        <v>0</v>
      </c>
      <c r="G71" s="9">
        <v>0</v>
      </c>
      <c r="H71" s="9">
        <v>4.3119</v>
      </c>
      <c r="I71" s="9">
        <v>1711.4305</v>
      </c>
      <c r="J71" s="9">
        <v>13.041</v>
      </c>
      <c r="K71" s="9">
        <v>5176.0511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</v>
      </c>
      <c r="AR71" s="9">
        <v>0</v>
      </c>
      <c r="AS71" s="9">
        <v>0</v>
      </c>
      <c r="AT71" s="9">
        <v>5.3525</v>
      </c>
      <c r="AU71" s="9">
        <v>2124.4314</v>
      </c>
      <c r="AV71" s="9">
        <v>0</v>
      </c>
      <c r="AW71" s="9">
        <v>0</v>
      </c>
      <c r="AX71" s="9">
        <v>0</v>
      </c>
      <c r="AY71" s="9">
        <v>0</v>
      </c>
      <c r="AZ71" s="14">
        <f t="shared" si="3"/>
        <v>9011.913</v>
      </c>
    </row>
    <row r="72" spans="1:52">
      <c r="A72" s="9" t="s">
        <v>33</v>
      </c>
      <c r="B72" s="9" t="s">
        <v>101</v>
      </c>
      <c r="C72" s="9" t="s">
        <v>106</v>
      </c>
      <c r="D72" s="9">
        <v>0</v>
      </c>
      <c r="E72" s="9">
        <v>0</v>
      </c>
      <c r="F72" s="9">
        <v>0</v>
      </c>
      <c r="G72" s="9">
        <v>0</v>
      </c>
      <c r="H72" s="9">
        <v>14.6153</v>
      </c>
      <c r="I72" s="9">
        <v>5800.9003</v>
      </c>
      <c r="J72" s="9">
        <v>63.0761</v>
      </c>
      <c r="K72" s="9">
        <v>25035.2984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9">
        <v>0</v>
      </c>
      <c r="AQ72" s="9">
        <v>0</v>
      </c>
      <c r="AR72" s="9">
        <v>0</v>
      </c>
      <c r="AS72" s="9">
        <v>0</v>
      </c>
      <c r="AT72" s="9">
        <v>2.5635</v>
      </c>
      <c r="AU72" s="9">
        <v>1017.4542</v>
      </c>
      <c r="AV72" s="9">
        <v>0</v>
      </c>
      <c r="AW72" s="9">
        <v>0</v>
      </c>
      <c r="AX72" s="9">
        <v>0</v>
      </c>
      <c r="AY72" s="9">
        <v>0</v>
      </c>
      <c r="AZ72" s="14">
        <f t="shared" si="3"/>
        <v>31853.6529</v>
      </c>
    </row>
    <row r="73" spans="1:52">
      <c r="A73" s="9" t="s">
        <v>33</v>
      </c>
      <c r="B73" s="9" t="s">
        <v>101</v>
      </c>
      <c r="C73" s="9" t="s">
        <v>107</v>
      </c>
      <c r="D73" s="9">
        <v>0</v>
      </c>
      <c r="E73" s="9">
        <v>0</v>
      </c>
      <c r="F73" s="9">
        <v>0</v>
      </c>
      <c r="G73" s="9">
        <v>0</v>
      </c>
      <c r="H73" s="9">
        <v>10.6354</v>
      </c>
      <c r="I73" s="9">
        <v>4221.2533</v>
      </c>
      <c r="J73" s="9">
        <v>15.9531</v>
      </c>
      <c r="K73" s="9">
        <v>6331.8799</v>
      </c>
      <c r="L73" s="9">
        <v>0</v>
      </c>
      <c r="M73" s="9">
        <v>120000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  <c r="AT73" s="9">
        <v>0</v>
      </c>
      <c r="AU73" s="9">
        <v>0</v>
      </c>
      <c r="AV73" s="9">
        <v>0</v>
      </c>
      <c r="AW73" s="9">
        <v>0</v>
      </c>
      <c r="AX73" s="9">
        <v>0</v>
      </c>
      <c r="AY73" s="9">
        <v>0</v>
      </c>
      <c r="AZ73" s="14">
        <f t="shared" si="3"/>
        <v>130553.1332</v>
      </c>
    </row>
    <row r="74" spans="1:52">
      <c r="A74" s="9" t="s">
        <v>33</v>
      </c>
      <c r="B74" s="9" t="s">
        <v>101</v>
      </c>
      <c r="C74" s="9" t="s">
        <v>108</v>
      </c>
      <c r="D74" s="9">
        <v>0</v>
      </c>
      <c r="E74" s="9">
        <v>0</v>
      </c>
      <c r="F74" s="9">
        <v>0</v>
      </c>
      <c r="G74" s="9">
        <v>0</v>
      </c>
      <c r="H74" s="9">
        <v>47.3135</v>
      </c>
      <c r="I74" s="9">
        <v>18779.0156</v>
      </c>
      <c r="J74" s="9">
        <v>30.8425</v>
      </c>
      <c r="K74" s="9">
        <v>12241.5574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9">
        <v>0</v>
      </c>
      <c r="AQ74" s="9">
        <v>0</v>
      </c>
      <c r="AR74" s="9">
        <v>0</v>
      </c>
      <c r="AS74" s="9">
        <v>0</v>
      </c>
      <c r="AT74" s="9">
        <v>6.57</v>
      </c>
      <c r="AU74" s="9">
        <v>2607.6724</v>
      </c>
      <c r="AV74" s="9">
        <v>0</v>
      </c>
      <c r="AW74" s="9">
        <v>0</v>
      </c>
      <c r="AX74" s="9">
        <v>0</v>
      </c>
      <c r="AY74" s="9">
        <v>0</v>
      </c>
      <c r="AZ74" s="14">
        <f t="shared" si="3"/>
        <v>33628.2454</v>
      </c>
    </row>
    <row r="75" spans="1:52">
      <c r="A75" s="9" t="s">
        <v>33</v>
      </c>
      <c r="B75" s="9" t="s">
        <v>101</v>
      </c>
      <c r="C75" s="9" t="s">
        <v>109</v>
      </c>
      <c r="D75" s="9">
        <v>0</v>
      </c>
      <c r="E75" s="9">
        <v>0</v>
      </c>
      <c r="F75" s="9">
        <v>0</v>
      </c>
      <c r="G75" s="9">
        <v>0</v>
      </c>
      <c r="H75" s="9">
        <v>16.2753</v>
      </c>
      <c r="I75" s="9">
        <v>6459.7563</v>
      </c>
      <c r="J75" s="9">
        <v>21.8607</v>
      </c>
      <c r="K75" s="9">
        <v>8676.6316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53.1588</v>
      </c>
      <c r="W75" s="9">
        <v>21099.0467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7.35</v>
      </c>
      <c r="AU75" s="9">
        <v>2917.2432</v>
      </c>
      <c r="AV75" s="9">
        <v>0</v>
      </c>
      <c r="AW75" s="9">
        <v>0</v>
      </c>
      <c r="AX75" s="9">
        <v>0</v>
      </c>
      <c r="AY75" s="9">
        <v>0</v>
      </c>
      <c r="AZ75" s="14">
        <f t="shared" si="3"/>
        <v>39152.6778</v>
      </c>
    </row>
    <row r="76" spans="1:52">
      <c r="A76" s="9" t="s">
        <v>33</v>
      </c>
      <c r="B76" s="9" t="s">
        <v>101</v>
      </c>
      <c r="C76" s="9" t="s">
        <v>110</v>
      </c>
      <c r="D76" s="9">
        <v>0</v>
      </c>
      <c r="E76" s="9">
        <v>0</v>
      </c>
      <c r="F76" s="9">
        <v>0</v>
      </c>
      <c r="G76" s="9">
        <v>0</v>
      </c>
      <c r="H76" s="9">
        <v>9.6936</v>
      </c>
      <c r="I76" s="9">
        <v>3847.448</v>
      </c>
      <c r="J76" s="9">
        <v>31.0232</v>
      </c>
      <c r="K76" s="9">
        <v>12313.2863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1032.192</v>
      </c>
      <c r="W76" s="9">
        <v>409683.198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0</v>
      </c>
      <c r="AP76" s="9">
        <v>0</v>
      </c>
      <c r="AQ76" s="9">
        <v>0</v>
      </c>
      <c r="AR76" s="9">
        <v>0</v>
      </c>
      <c r="AS76" s="9">
        <v>0</v>
      </c>
      <c r="AT76" s="9">
        <v>1.7064</v>
      </c>
      <c r="AU76" s="9">
        <v>677.2994</v>
      </c>
      <c r="AV76" s="9">
        <v>0</v>
      </c>
      <c r="AW76" s="9">
        <v>0</v>
      </c>
      <c r="AX76" s="9">
        <v>0</v>
      </c>
      <c r="AY76" s="9">
        <v>0</v>
      </c>
      <c r="AZ76" s="14">
        <f t="shared" si="3"/>
        <v>426521.2317</v>
      </c>
    </row>
    <row r="77" spans="1:52">
      <c r="A77" s="9" t="s">
        <v>33</v>
      </c>
      <c r="B77" s="9" t="s">
        <v>101</v>
      </c>
      <c r="C77" s="9" t="s">
        <v>111</v>
      </c>
      <c r="D77" s="9">
        <v>0</v>
      </c>
      <c r="E77" s="9">
        <v>0</v>
      </c>
      <c r="F77" s="9">
        <v>0</v>
      </c>
      <c r="G77" s="9">
        <v>0</v>
      </c>
      <c r="H77" s="9">
        <v>12.0268</v>
      </c>
      <c r="I77" s="9">
        <v>4773.4984</v>
      </c>
      <c r="J77" s="9">
        <v>30.6848</v>
      </c>
      <c r="K77" s="9">
        <v>12178.9733</v>
      </c>
      <c r="L77" s="9">
        <v>0</v>
      </c>
      <c r="M77" s="9">
        <v>0</v>
      </c>
      <c r="N77" s="9">
        <v>0</v>
      </c>
      <c r="O77" s="9">
        <v>0</v>
      </c>
      <c r="P77" s="9">
        <v>12.0268</v>
      </c>
      <c r="Q77" s="9">
        <v>4773.4984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</v>
      </c>
      <c r="AR77" s="9">
        <v>0</v>
      </c>
      <c r="AS77" s="9">
        <v>0</v>
      </c>
      <c r="AT77" s="9">
        <v>5.2682</v>
      </c>
      <c r="AU77" s="9">
        <v>2090.9603</v>
      </c>
      <c r="AV77" s="9">
        <v>0</v>
      </c>
      <c r="AW77" s="9">
        <v>0</v>
      </c>
      <c r="AX77" s="9">
        <v>0</v>
      </c>
      <c r="AY77" s="9">
        <v>0</v>
      </c>
      <c r="AZ77" s="14">
        <f t="shared" si="3"/>
        <v>23816.9304</v>
      </c>
    </row>
    <row r="78" spans="1:52">
      <c r="A78" s="9" t="s">
        <v>33</v>
      </c>
      <c r="B78" s="9" t="s">
        <v>101</v>
      </c>
      <c r="C78" s="9" t="s">
        <v>112</v>
      </c>
      <c r="D78" s="9">
        <v>0</v>
      </c>
      <c r="E78" s="9">
        <v>0</v>
      </c>
      <c r="F78" s="9">
        <v>0</v>
      </c>
      <c r="G78" s="9">
        <v>0</v>
      </c>
      <c r="H78" s="9">
        <v>9.7127</v>
      </c>
      <c r="I78" s="9">
        <v>3855.0134</v>
      </c>
      <c r="J78" s="9">
        <v>14.569</v>
      </c>
      <c r="K78" s="9">
        <v>5782.5201</v>
      </c>
      <c r="L78" s="9">
        <v>0</v>
      </c>
      <c r="M78" s="9">
        <v>74820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340.5776</v>
      </c>
      <c r="AU78" s="9">
        <v>135177.3116</v>
      </c>
      <c r="AV78" s="9">
        <v>0</v>
      </c>
      <c r="AW78" s="9">
        <v>0</v>
      </c>
      <c r="AX78" s="9">
        <v>0</v>
      </c>
      <c r="AY78" s="9">
        <v>0</v>
      </c>
      <c r="AZ78" s="14">
        <f t="shared" si="3"/>
        <v>219634.8451</v>
      </c>
    </row>
    <row r="79" spans="1:52">
      <c r="A79" s="9" t="s">
        <v>33</v>
      </c>
      <c r="B79" s="9" t="s">
        <v>101</v>
      </c>
      <c r="C79" s="9" t="s">
        <v>113</v>
      </c>
      <c r="D79" s="9">
        <v>0</v>
      </c>
      <c r="E79" s="9">
        <v>0</v>
      </c>
      <c r="F79" s="9">
        <v>0</v>
      </c>
      <c r="G79" s="9">
        <v>0</v>
      </c>
      <c r="H79" s="9">
        <v>13.9158</v>
      </c>
      <c r="I79" s="9">
        <v>5523.2655</v>
      </c>
      <c r="J79" s="9">
        <v>19.2334</v>
      </c>
      <c r="K79" s="9">
        <v>7633.8717</v>
      </c>
      <c r="L79" s="9">
        <v>0</v>
      </c>
      <c r="M79" s="9">
        <v>0</v>
      </c>
      <c r="N79" s="9">
        <v>0</v>
      </c>
      <c r="O79" s="9">
        <v>0</v>
      </c>
      <c r="P79" s="9">
        <v>0.1657</v>
      </c>
      <c r="Q79" s="9">
        <v>65.7532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4.8888</v>
      </c>
      <c r="AU79" s="9">
        <v>1940.3941</v>
      </c>
      <c r="AV79" s="9">
        <v>0</v>
      </c>
      <c r="AW79" s="9">
        <v>0</v>
      </c>
      <c r="AX79" s="9">
        <v>0</v>
      </c>
      <c r="AY79" s="9">
        <v>0</v>
      </c>
      <c r="AZ79" s="14">
        <f t="shared" si="3"/>
        <v>15163.2845</v>
      </c>
    </row>
    <row r="80" spans="1:52">
      <c r="A80" s="9" t="s">
        <v>33</v>
      </c>
      <c r="B80" s="9" t="s">
        <v>101</v>
      </c>
      <c r="C80" s="9" t="s">
        <v>114</v>
      </c>
      <c r="D80" s="9">
        <v>0</v>
      </c>
      <c r="E80" s="9">
        <v>0</v>
      </c>
      <c r="F80" s="9">
        <v>0</v>
      </c>
      <c r="G80" s="9">
        <v>0</v>
      </c>
      <c r="H80" s="9">
        <v>13.8492</v>
      </c>
      <c r="I80" s="9">
        <v>5496.8306</v>
      </c>
      <c r="J80" s="9">
        <v>35.4607</v>
      </c>
      <c r="K80" s="9">
        <v>14074.5547</v>
      </c>
      <c r="L80" s="9">
        <v>0</v>
      </c>
      <c r="M80" s="9">
        <v>0</v>
      </c>
      <c r="N80" s="9">
        <v>0</v>
      </c>
      <c r="O80" s="9">
        <v>0</v>
      </c>
      <c r="P80" s="9">
        <v>13.8492</v>
      </c>
      <c r="Q80" s="9">
        <v>5496.8306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9">
        <v>18.5815</v>
      </c>
      <c r="AU80" s="9">
        <v>7375.1255</v>
      </c>
      <c r="AV80" s="9">
        <v>0</v>
      </c>
      <c r="AW80" s="9">
        <v>0</v>
      </c>
      <c r="AX80" s="9">
        <v>0</v>
      </c>
      <c r="AY80" s="9">
        <v>0</v>
      </c>
      <c r="AZ80" s="14">
        <f t="shared" si="3"/>
        <v>32443.3414</v>
      </c>
    </row>
    <row r="81" spans="1:52">
      <c r="A81" s="9" t="s">
        <v>33</v>
      </c>
      <c r="B81" s="9" t="s">
        <v>101</v>
      </c>
      <c r="C81" s="9" t="s">
        <v>115</v>
      </c>
      <c r="D81" s="9">
        <v>0</v>
      </c>
      <c r="E81" s="9">
        <v>0</v>
      </c>
      <c r="F81" s="9">
        <v>0</v>
      </c>
      <c r="G81" s="9">
        <v>0</v>
      </c>
      <c r="H81" s="9">
        <v>77.5552</v>
      </c>
      <c r="I81" s="9">
        <v>30782.1242</v>
      </c>
      <c r="J81" s="9">
        <v>82.7616</v>
      </c>
      <c r="K81" s="9">
        <v>32848.5637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9">
        <v>0</v>
      </c>
      <c r="AS81" s="9">
        <v>0</v>
      </c>
      <c r="AT81" s="9">
        <v>85.7067</v>
      </c>
      <c r="AU81" s="9">
        <v>34017.5114</v>
      </c>
      <c r="AV81" s="9">
        <v>0</v>
      </c>
      <c r="AW81" s="9">
        <v>0</v>
      </c>
      <c r="AX81" s="9">
        <v>0</v>
      </c>
      <c r="AY81" s="9">
        <v>0</v>
      </c>
      <c r="AZ81" s="14">
        <f t="shared" si="3"/>
        <v>97648.1993</v>
      </c>
    </row>
    <row r="82" spans="1:52">
      <c r="A82" s="9" t="s">
        <v>33</v>
      </c>
      <c r="B82" s="9" t="s">
        <v>101</v>
      </c>
      <c r="C82" s="9" t="s">
        <v>116</v>
      </c>
      <c r="D82" s="9">
        <v>0</v>
      </c>
      <c r="E82" s="9">
        <v>0</v>
      </c>
      <c r="F82" s="9">
        <v>0</v>
      </c>
      <c r="G82" s="9">
        <v>0</v>
      </c>
      <c r="H82" s="9">
        <v>10.0549</v>
      </c>
      <c r="I82" s="9">
        <v>3990.866</v>
      </c>
      <c r="J82" s="9">
        <v>6.9477</v>
      </c>
      <c r="K82" s="9">
        <v>2757.5957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9">
        <v>0</v>
      </c>
      <c r="AO82" s="9">
        <v>0</v>
      </c>
      <c r="AP82" s="9">
        <v>0</v>
      </c>
      <c r="AQ82" s="9">
        <v>0</v>
      </c>
      <c r="AR82" s="9">
        <v>0</v>
      </c>
      <c r="AS82" s="9">
        <v>0</v>
      </c>
      <c r="AT82" s="9">
        <v>31.4321</v>
      </c>
      <c r="AU82" s="9">
        <v>12475.5835</v>
      </c>
      <c r="AV82" s="9">
        <v>0</v>
      </c>
      <c r="AW82" s="9">
        <v>0</v>
      </c>
      <c r="AX82" s="9">
        <v>0</v>
      </c>
      <c r="AY82" s="9">
        <v>0</v>
      </c>
      <c r="AZ82" s="14">
        <f t="shared" si="3"/>
        <v>19224.0452</v>
      </c>
    </row>
    <row r="83" spans="1:52">
      <c r="A83" s="9" t="s">
        <v>33</v>
      </c>
      <c r="B83" s="9" t="s">
        <v>101</v>
      </c>
      <c r="C83" s="9" t="s">
        <v>117</v>
      </c>
      <c r="D83" s="9">
        <v>0</v>
      </c>
      <c r="E83" s="9">
        <v>0</v>
      </c>
      <c r="F83" s="9">
        <v>0</v>
      </c>
      <c r="G83" s="9">
        <v>0</v>
      </c>
      <c r="H83" s="9">
        <v>38.6568</v>
      </c>
      <c r="I83" s="9">
        <v>15343.1325</v>
      </c>
      <c r="J83" s="9">
        <v>135.9312</v>
      </c>
      <c r="K83" s="9">
        <v>53951.9208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1049.088</v>
      </c>
      <c r="W83" s="9">
        <v>416389.3217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  <c r="AR83" s="9">
        <v>0</v>
      </c>
      <c r="AS83" s="9">
        <v>0</v>
      </c>
      <c r="AT83" s="9">
        <v>13.2521</v>
      </c>
      <c r="AU83" s="9">
        <v>5259.8491</v>
      </c>
      <c r="AV83" s="9">
        <v>0</v>
      </c>
      <c r="AW83" s="9">
        <v>0</v>
      </c>
      <c r="AX83" s="9">
        <v>0</v>
      </c>
      <c r="AY83" s="9">
        <v>0</v>
      </c>
      <c r="AZ83" s="14">
        <f t="shared" si="3"/>
        <v>490944.2241</v>
      </c>
    </row>
    <row r="84" spans="1:52">
      <c r="A84" s="9" t="s">
        <v>33</v>
      </c>
      <c r="B84" s="9" t="s">
        <v>101</v>
      </c>
      <c r="C84" s="9" t="s">
        <v>118</v>
      </c>
      <c r="D84" s="9">
        <v>0</v>
      </c>
      <c r="E84" s="9">
        <v>0</v>
      </c>
      <c r="F84" s="9">
        <v>0</v>
      </c>
      <c r="G84" s="9">
        <v>0</v>
      </c>
      <c r="H84" s="9">
        <v>7.8389</v>
      </c>
      <c r="I84" s="9">
        <v>3111.2985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>
        <v>0</v>
      </c>
      <c r="AO84" s="9">
        <v>0</v>
      </c>
      <c r="AP84" s="9">
        <v>0</v>
      </c>
      <c r="AQ84" s="9">
        <v>0</v>
      </c>
      <c r="AR84" s="9">
        <v>0</v>
      </c>
      <c r="AS84" s="9">
        <v>0</v>
      </c>
      <c r="AT84" s="9">
        <v>12.8766</v>
      </c>
      <c r="AU84" s="9">
        <v>5110.7998</v>
      </c>
      <c r="AV84" s="9">
        <v>0</v>
      </c>
      <c r="AW84" s="9">
        <v>0</v>
      </c>
      <c r="AX84" s="9">
        <v>0</v>
      </c>
      <c r="AY84" s="9">
        <v>0</v>
      </c>
      <c r="AZ84" s="14">
        <f t="shared" si="3"/>
        <v>8222.0983</v>
      </c>
    </row>
    <row r="85" spans="1:52">
      <c r="A85" s="9" t="s">
        <v>33</v>
      </c>
      <c r="B85" s="9" t="s">
        <v>101</v>
      </c>
      <c r="C85" s="9" t="s">
        <v>119</v>
      </c>
      <c r="D85" s="9">
        <v>0</v>
      </c>
      <c r="E85" s="9">
        <v>0</v>
      </c>
      <c r="F85" s="9">
        <v>0</v>
      </c>
      <c r="G85" s="9">
        <v>0</v>
      </c>
      <c r="H85" s="9">
        <v>4.7956</v>
      </c>
      <c r="I85" s="9">
        <v>1903.4024</v>
      </c>
      <c r="J85" s="9">
        <v>7.1934</v>
      </c>
      <c r="K85" s="9">
        <v>2855.1036</v>
      </c>
      <c r="L85" s="9">
        <v>0</v>
      </c>
      <c r="M85" s="9">
        <v>35280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0.3616</v>
      </c>
      <c r="AU85" s="9">
        <v>143.5291</v>
      </c>
      <c r="AV85" s="9">
        <v>0</v>
      </c>
      <c r="AW85" s="9">
        <v>0</v>
      </c>
      <c r="AX85" s="9">
        <v>0</v>
      </c>
      <c r="AY85" s="9">
        <v>0</v>
      </c>
      <c r="AZ85" s="14">
        <f t="shared" si="3"/>
        <v>40182.0351</v>
      </c>
    </row>
    <row r="86" spans="1:52">
      <c r="A86" s="9" t="s">
        <v>33</v>
      </c>
      <c r="B86" s="9" t="s">
        <v>101</v>
      </c>
      <c r="C86" s="9" t="s">
        <v>120</v>
      </c>
      <c r="D86" s="9">
        <v>0</v>
      </c>
      <c r="E86" s="9">
        <v>0</v>
      </c>
      <c r="F86" s="9">
        <v>0</v>
      </c>
      <c r="G86" s="9">
        <v>0</v>
      </c>
      <c r="H86" s="9">
        <v>2.6712</v>
      </c>
      <c r="I86" s="9">
        <v>1060.2153</v>
      </c>
      <c r="J86" s="9">
        <v>4.0068</v>
      </c>
      <c r="K86" s="9">
        <v>1590.323</v>
      </c>
      <c r="L86" s="9">
        <v>0</v>
      </c>
      <c r="M86" s="9">
        <v>22080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9">
        <v>0</v>
      </c>
      <c r="AN86" s="9">
        <v>0</v>
      </c>
      <c r="AO86" s="9">
        <v>0</v>
      </c>
      <c r="AP86" s="9">
        <v>0</v>
      </c>
      <c r="AQ86" s="9">
        <v>0</v>
      </c>
      <c r="AR86" s="9">
        <v>0</v>
      </c>
      <c r="AS86" s="9">
        <v>0</v>
      </c>
      <c r="AT86" s="9">
        <v>58.8598</v>
      </c>
      <c r="AU86" s="9">
        <v>23361.7919</v>
      </c>
      <c r="AV86" s="9">
        <v>0</v>
      </c>
      <c r="AW86" s="9">
        <v>0</v>
      </c>
      <c r="AX86" s="9">
        <v>0</v>
      </c>
      <c r="AY86" s="9">
        <v>0</v>
      </c>
      <c r="AZ86" s="14">
        <f t="shared" si="3"/>
        <v>48092.3302</v>
      </c>
    </row>
    <row r="87" spans="1:52">
      <c r="A87" s="9" t="s">
        <v>33</v>
      </c>
      <c r="B87" s="9" t="s">
        <v>101</v>
      </c>
      <c r="C87" s="9" t="s">
        <v>121</v>
      </c>
      <c r="D87" s="9">
        <v>0</v>
      </c>
      <c r="E87" s="9">
        <v>0</v>
      </c>
      <c r="F87" s="9">
        <v>0</v>
      </c>
      <c r="G87" s="9">
        <v>0</v>
      </c>
      <c r="H87" s="9">
        <v>7.4298</v>
      </c>
      <c r="I87" s="9">
        <v>2948.9322</v>
      </c>
      <c r="J87" s="9">
        <v>8.6027</v>
      </c>
      <c r="K87" s="9">
        <v>3414.4791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0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9">
        <v>0</v>
      </c>
      <c r="AN87" s="9">
        <v>0</v>
      </c>
      <c r="AO87" s="9">
        <v>0</v>
      </c>
      <c r="AP87" s="9">
        <v>0</v>
      </c>
      <c r="AQ87" s="9">
        <v>0</v>
      </c>
      <c r="AR87" s="9">
        <v>0</v>
      </c>
      <c r="AS87" s="9">
        <v>0</v>
      </c>
      <c r="AT87" s="9">
        <v>53.6678</v>
      </c>
      <c r="AU87" s="9">
        <v>21301.0615</v>
      </c>
      <c r="AV87" s="9">
        <v>0</v>
      </c>
      <c r="AW87" s="9">
        <v>0</v>
      </c>
      <c r="AX87" s="9">
        <v>0</v>
      </c>
      <c r="AY87" s="9">
        <v>0</v>
      </c>
      <c r="AZ87" s="14">
        <f t="shared" si="3"/>
        <v>27664.4728</v>
      </c>
    </row>
    <row r="88" spans="1:52">
      <c r="A88" s="9" t="s">
        <v>33</v>
      </c>
      <c r="B88" s="9" t="s">
        <v>101</v>
      </c>
      <c r="C88" s="9" t="s">
        <v>122</v>
      </c>
      <c r="D88" s="9">
        <v>0</v>
      </c>
      <c r="E88" s="9">
        <v>0</v>
      </c>
      <c r="F88" s="9">
        <v>0</v>
      </c>
      <c r="G88" s="9">
        <v>0</v>
      </c>
      <c r="H88" s="9">
        <v>14.3774</v>
      </c>
      <c r="I88" s="9">
        <v>5706.4922</v>
      </c>
      <c r="J88" s="9">
        <v>87.1955</v>
      </c>
      <c r="K88" s="9">
        <v>34608.4149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9">
        <v>0</v>
      </c>
      <c r="AO88" s="9">
        <v>0</v>
      </c>
      <c r="AP88" s="9">
        <v>0</v>
      </c>
      <c r="AQ88" s="9">
        <v>0</v>
      </c>
      <c r="AR88" s="9">
        <v>0</v>
      </c>
      <c r="AS88" s="9">
        <v>0</v>
      </c>
      <c r="AT88" s="9">
        <v>57.25</v>
      </c>
      <c r="AU88" s="9">
        <v>22722.8653</v>
      </c>
      <c r="AV88" s="9">
        <v>0</v>
      </c>
      <c r="AW88" s="9">
        <v>0</v>
      </c>
      <c r="AX88" s="9">
        <v>0</v>
      </c>
      <c r="AY88" s="9">
        <v>0</v>
      </c>
      <c r="AZ88" s="14">
        <f t="shared" si="3"/>
        <v>63037.7724</v>
      </c>
    </row>
    <row r="89" spans="1:52">
      <c r="A89" s="9" t="s">
        <v>33</v>
      </c>
      <c r="B89" s="9" t="s">
        <v>101</v>
      </c>
      <c r="C89" s="9" t="s">
        <v>123</v>
      </c>
      <c r="D89" s="9">
        <v>0</v>
      </c>
      <c r="E89" s="9">
        <v>0</v>
      </c>
      <c r="F89" s="9">
        <v>0</v>
      </c>
      <c r="G89" s="9">
        <v>0</v>
      </c>
      <c r="H89" s="9">
        <v>42.1428</v>
      </c>
      <c r="I89" s="9">
        <v>16726.7302</v>
      </c>
      <c r="J89" s="9">
        <v>21.1196</v>
      </c>
      <c r="K89" s="9">
        <v>8382.5118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9">
        <v>0</v>
      </c>
      <c r="AQ89" s="9">
        <v>0</v>
      </c>
      <c r="AR89" s="9">
        <v>0</v>
      </c>
      <c r="AS89" s="9">
        <v>0</v>
      </c>
      <c r="AT89" s="9">
        <v>0.8007</v>
      </c>
      <c r="AU89" s="9">
        <v>317.8026</v>
      </c>
      <c r="AV89" s="9">
        <v>0</v>
      </c>
      <c r="AW89" s="9">
        <v>0</v>
      </c>
      <c r="AX89" s="9">
        <v>0</v>
      </c>
      <c r="AY89" s="9">
        <v>0</v>
      </c>
      <c r="AZ89" s="14">
        <f t="shared" si="3"/>
        <v>25427.0446</v>
      </c>
    </row>
    <row r="90" spans="1:52">
      <c r="A90" s="9" t="s">
        <v>33</v>
      </c>
      <c r="B90" s="9" t="s">
        <v>101</v>
      </c>
      <c r="C90" s="9" t="s">
        <v>124</v>
      </c>
      <c r="D90" s="9">
        <v>0</v>
      </c>
      <c r="E90" s="9">
        <v>0</v>
      </c>
      <c r="F90" s="9">
        <v>0</v>
      </c>
      <c r="G90" s="9">
        <v>0</v>
      </c>
      <c r="H90" s="9">
        <v>6.04</v>
      </c>
      <c r="I90" s="9">
        <v>2397.3122</v>
      </c>
      <c r="J90" s="9">
        <v>8.304</v>
      </c>
      <c r="K90" s="9">
        <v>3295.9193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>
        <v>0</v>
      </c>
      <c r="AJ90" s="9">
        <v>0</v>
      </c>
      <c r="AK90" s="9">
        <v>0</v>
      </c>
      <c r="AL90" s="9">
        <v>0</v>
      </c>
      <c r="AM90" s="9">
        <v>0</v>
      </c>
      <c r="AN90" s="9">
        <v>0</v>
      </c>
      <c r="AO90" s="9">
        <v>0</v>
      </c>
      <c r="AP90" s="9">
        <v>0</v>
      </c>
      <c r="AQ90" s="9">
        <v>0</v>
      </c>
      <c r="AR90" s="9">
        <v>0</v>
      </c>
      <c r="AS90" s="9">
        <v>0</v>
      </c>
      <c r="AT90" s="9">
        <v>1.0744</v>
      </c>
      <c r="AU90" s="9">
        <v>426.4437</v>
      </c>
      <c r="AV90" s="9">
        <v>0</v>
      </c>
      <c r="AW90" s="9">
        <v>0</v>
      </c>
      <c r="AX90" s="9">
        <v>0</v>
      </c>
      <c r="AY90" s="9">
        <v>0</v>
      </c>
      <c r="AZ90" s="14">
        <f t="shared" si="3"/>
        <v>6119.6752</v>
      </c>
    </row>
    <row r="91" spans="1:52">
      <c r="A91" s="9" t="s">
        <v>33</v>
      </c>
      <c r="B91" s="9" t="s">
        <v>101</v>
      </c>
      <c r="C91" s="9" t="s">
        <v>125</v>
      </c>
      <c r="D91" s="9">
        <v>0</v>
      </c>
      <c r="E91" s="9">
        <v>0</v>
      </c>
      <c r="F91" s="9">
        <v>0</v>
      </c>
      <c r="G91" s="9">
        <v>0</v>
      </c>
      <c r="H91" s="9">
        <v>2.9798</v>
      </c>
      <c r="I91" s="9">
        <v>1182.7164</v>
      </c>
      <c r="J91" s="9">
        <v>8.0038</v>
      </c>
      <c r="K91" s="9">
        <v>3176.7523</v>
      </c>
      <c r="L91" s="9">
        <v>0</v>
      </c>
      <c r="M91" s="9">
        <v>0</v>
      </c>
      <c r="N91" s="9">
        <v>0</v>
      </c>
      <c r="O91" s="9">
        <v>0</v>
      </c>
      <c r="P91" s="9">
        <v>2.9798</v>
      </c>
      <c r="Q91" s="9">
        <v>1182.7164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>
        <v>0</v>
      </c>
      <c r="AK91" s="9">
        <v>0</v>
      </c>
      <c r="AL91" s="9">
        <v>0</v>
      </c>
      <c r="AM91" s="9">
        <v>0</v>
      </c>
      <c r="AN91" s="9">
        <v>0</v>
      </c>
      <c r="AO91" s="9">
        <v>0</v>
      </c>
      <c r="AP91" s="9">
        <v>0</v>
      </c>
      <c r="AQ91" s="9">
        <v>0</v>
      </c>
      <c r="AR91" s="9">
        <v>0</v>
      </c>
      <c r="AS91" s="9">
        <v>0</v>
      </c>
      <c r="AT91" s="9">
        <v>2.013</v>
      </c>
      <c r="AU91" s="9">
        <v>798.9718</v>
      </c>
      <c r="AV91" s="9">
        <v>0</v>
      </c>
      <c r="AW91" s="9">
        <v>0</v>
      </c>
      <c r="AX91" s="9">
        <v>0</v>
      </c>
      <c r="AY91" s="9">
        <v>0</v>
      </c>
      <c r="AZ91" s="14">
        <f t="shared" si="3"/>
        <v>6341.1569</v>
      </c>
    </row>
    <row r="92" spans="1:52">
      <c r="A92" s="9" t="s">
        <v>33</v>
      </c>
      <c r="B92" s="9" t="s">
        <v>101</v>
      </c>
      <c r="C92" s="9" t="s">
        <v>126</v>
      </c>
      <c r="D92" s="9">
        <v>0</v>
      </c>
      <c r="E92" s="9">
        <v>0</v>
      </c>
      <c r="F92" s="9">
        <v>0</v>
      </c>
      <c r="G92" s="9">
        <v>0</v>
      </c>
      <c r="H92" s="9">
        <v>41.1571</v>
      </c>
      <c r="I92" s="9">
        <v>16335.5118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0</v>
      </c>
      <c r="AN92" s="9">
        <v>0</v>
      </c>
      <c r="AO92" s="9">
        <v>0</v>
      </c>
      <c r="AP92" s="9">
        <v>0</v>
      </c>
      <c r="AQ92" s="9">
        <v>0</v>
      </c>
      <c r="AR92" s="9">
        <v>0</v>
      </c>
      <c r="AS92" s="9">
        <v>0</v>
      </c>
      <c r="AT92" s="9">
        <v>37.1184</v>
      </c>
      <c r="AU92" s="9">
        <v>14732.5157</v>
      </c>
      <c r="AV92" s="9">
        <v>0</v>
      </c>
      <c r="AW92" s="9">
        <v>0</v>
      </c>
      <c r="AX92" s="9">
        <v>0</v>
      </c>
      <c r="AY92" s="9">
        <v>0</v>
      </c>
      <c r="AZ92" s="14">
        <f t="shared" si="3"/>
        <v>31068.0275</v>
      </c>
    </row>
    <row r="93" spans="1:52">
      <c r="A93" s="9" t="s">
        <v>33</v>
      </c>
      <c r="B93" s="9" t="s">
        <v>101</v>
      </c>
      <c r="C93" s="9" t="s">
        <v>127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31.8339</v>
      </c>
      <c r="K93" s="9">
        <v>12635.0659</v>
      </c>
      <c r="L93" s="9">
        <v>0</v>
      </c>
      <c r="M93" s="9">
        <v>198000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9">
        <v>0</v>
      </c>
      <c r="AQ93" s="9">
        <v>0</v>
      </c>
      <c r="AR93" s="9">
        <v>0</v>
      </c>
      <c r="AS93" s="9">
        <v>0</v>
      </c>
      <c r="AT93" s="9">
        <v>8.4546</v>
      </c>
      <c r="AU93" s="9">
        <v>3355.6815</v>
      </c>
      <c r="AV93" s="9">
        <v>0</v>
      </c>
      <c r="AW93" s="9">
        <v>0</v>
      </c>
      <c r="AX93" s="9">
        <v>0</v>
      </c>
      <c r="AY93" s="9">
        <v>0</v>
      </c>
      <c r="AZ93" s="14">
        <f t="shared" si="3"/>
        <v>213990.7474</v>
      </c>
    </row>
    <row r="94" spans="1:52">
      <c r="A94" s="9" t="s">
        <v>33</v>
      </c>
      <c r="B94" s="9" t="s">
        <v>101</v>
      </c>
      <c r="C94" s="9" t="s">
        <v>128</v>
      </c>
      <c r="D94" s="9">
        <v>0</v>
      </c>
      <c r="E94" s="9">
        <v>0</v>
      </c>
      <c r="F94" s="9">
        <v>0</v>
      </c>
      <c r="G94" s="9">
        <v>0</v>
      </c>
      <c r="H94" s="9">
        <v>18.9893</v>
      </c>
      <c r="I94" s="9">
        <v>7536.9473</v>
      </c>
      <c r="J94" s="9">
        <v>70.8974</v>
      </c>
      <c r="K94" s="9">
        <v>28139.6074</v>
      </c>
      <c r="L94" s="9">
        <v>0</v>
      </c>
      <c r="M94" s="9">
        <v>0</v>
      </c>
      <c r="N94" s="9">
        <v>0</v>
      </c>
      <c r="O94" s="9">
        <v>0</v>
      </c>
      <c r="P94" s="9">
        <v>22.6797</v>
      </c>
      <c r="Q94" s="9">
        <v>9001.6899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9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9">
        <v>0</v>
      </c>
      <c r="AQ94" s="9">
        <v>0</v>
      </c>
      <c r="AR94" s="9">
        <v>0</v>
      </c>
      <c r="AS94" s="9">
        <v>0</v>
      </c>
      <c r="AT94" s="9">
        <v>0.55</v>
      </c>
      <c r="AU94" s="9">
        <v>218.2983</v>
      </c>
      <c r="AV94" s="9">
        <v>0</v>
      </c>
      <c r="AW94" s="9">
        <v>0</v>
      </c>
      <c r="AX94" s="9">
        <v>0</v>
      </c>
      <c r="AY94" s="9">
        <v>0</v>
      </c>
      <c r="AZ94" s="14">
        <f t="shared" si="3"/>
        <v>44896.5429</v>
      </c>
    </row>
    <row r="95" spans="1:52">
      <c r="A95" s="9" t="s">
        <v>33</v>
      </c>
      <c r="B95" s="9" t="s">
        <v>101</v>
      </c>
      <c r="C95" s="9" t="s">
        <v>129</v>
      </c>
      <c r="D95" s="9">
        <v>0</v>
      </c>
      <c r="E95" s="9">
        <v>0</v>
      </c>
      <c r="F95" s="9">
        <v>0</v>
      </c>
      <c r="G95" s="9">
        <v>0</v>
      </c>
      <c r="H95" s="9">
        <v>8.4575</v>
      </c>
      <c r="I95" s="9">
        <v>3356.8484</v>
      </c>
      <c r="J95" s="9">
        <v>12.6863</v>
      </c>
      <c r="K95" s="9">
        <v>5035.2726</v>
      </c>
      <c r="L95" s="9">
        <v>0</v>
      </c>
      <c r="M95" s="9">
        <v>57920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9">
        <v>0</v>
      </c>
      <c r="AO95" s="9">
        <v>0</v>
      </c>
      <c r="AP95" s="9">
        <v>0</v>
      </c>
      <c r="AQ95" s="9">
        <v>0</v>
      </c>
      <c r="AR95" s="9">
        <v>0</v>
      </c>
      <c r="AS95" s="9">
        <v>0</v>
      </c>
      <c r="AT95" s="9">
        <v>19.3916</v>
      </c>
      <c r="AU95" s="9">
        <v>7696.6487</v>
      </c>
      <c r="AV95" s="9">
        <v>0</v>
      </c>
      <c r="AW95" s="9">
        <v>0</v>
      </c>
      <c r="AX95" s="9">
        <v>0</v>
      </c>
      <c r="AY95" s="9">
        <v>0</v>
      </c>
      <c r="AZ95" s="14">
        <f t="shared" si="3"/>
        <v>74008.7697</v>
      </c>
    </row>
    <row r="96" spans="1:52">
      <c r="A96" s="9" t="s">
        <v>33</v>
      </c>
      <c r="B96" s="9" t="s">
        <v>101</v>
      </c>
      <c r="C96" s="9" t="s">
        <v>130</v>
      </c>
      <c r="D96" s="9">
        <v>0</v>
      </c>
      <c r="E96" s="9">
        <v>0</v>
      </c>
      <c r="F96" s="9">
        <v>0</v>
      </c>
      <c r="G96" s="9">
        <v>0</v>
      </c>
      <c r="H96" s="9">
        <v>27.0673</v>
      </c>
      <c r="I96" s="9">
        <v>10743.1738</v>
      </c>
      <c r="J96" s="9">
        <v>28.7798</v>
      </c>
      <c r="K96" s="9">
        <v>11422.8912</v>
      </c>
      <c r="L96" s="9">
        <v>0</v>
      </c>
      <c r="M96" s="9">
        <v>0</v>
      </c>
      <c r="N96" s="9">
        <v>0</v>
      </c>
      <c r="O96" s="9">
        <v>0</v>
      </c>
      <c r="P96" s="9">
        <v>29.7745</v>
      </c>
      <c r="Q96" s="9">
        <v>11817.6674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>
        <v>0</v>
      </c>
      <c r="AO96" s="9">
        <v>0</v>
      </c>
      <c r="AP96" s="9">
        <v>0</v>
      </c>
      <c r="AQ96" s="9">
        <v>0</v>
      </c>
      <c r="AR96" s="9">
        <v>0</v>
      </c>
      <c r="AS96" s="9">
        <v>0</v>
      </c>
      <c r="AT96" s="9">
        <v>2.3106</v>
      </c>
      <c r="AU96" s="9">
        <v>917.086</v>
      </c>
      <c r="AV96" s="9">
        <v>0</v>
      </c>
      <c r="AW96" s="9">
        <v>0</v>
      </c>
      <c r="AX96" s="9">
        <v>0</v>
      </c>
      <c r="AY96" s="9">
        <v>0</v>
      </c>
      <c r="AZ96" s="14">
        <f t="shared" si="3"/>
        <v>34900.8184</v>
      </c>
    </row>
    <row r="97" spans="1:52">
      <c r="A97" s="9" t="s">
        <v>33</v>
      </c>
      <c r="B97" s="9" t="s">
        <v>101</v>
      </c>
      <c r="C97" s="9" t="s">
        <v>131</v>
      </c>
      <c r="D97" s="9">
        <v>0</v>
      </c>
      <c r="E97" s="9">
        <v>0</v>
      </c>
      <c r="F97" s="9">
        <v>0</v>
      </c>
      <c r="G97" s="9">
        <v>0</v>
      </c>
      <c r="H97" s="9">
        <v>10.127</v>
      </c>
      <c r="I97" s="9">
        <v>4019.4829</v>
      </c>
      <c r="J97" s="9">
        <v>11.3466</v>
      </c>
      <c r="K97" s="9">
        <v>4503.5217</v>
      </c>
      <c r="L97" s="9">
        <v>0</v>
      </c>
      <c r="M97" s="9">
        <v>0</v>
      </c>
      <c r="N97" s="9">
        <v>0</v>
      </c>
      <c r="O97" s="9">
        <v>0</v>
      </c>
      <c r="P97" s="9">
        <v>8.6369</v>
      </c>
      <c r="Q97" s="9">
        <v>3428.0404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9">
        <v>0</v>
      </c>
      <c r="AO97" s="9">
        <v>0</v>
      </c>
      <c r="AP97" s="9">
        <v>0</v>
      </c>
      <c r="AQ97" s="9">
        <v>0</v>
      </c>
      <c r="AR97" s="9">
        <v>0</v>
      </c>
      <c r="AS97" s="9">
        <v>0</v>
      </c>
      <c r="AT97" s="9">
        <v>0.1927</v>
      </c>
      <c r="AU97" s="9">
        <v>76.4756</v>
      </c>
      <c r="AV97" s="9">
        <v>0</v>
      </c>
      <c r="AW97" s="9">
        <v>0</v>
      </c>
      <c r="AX97" s="9">
        <v>0</v>
      </c>
      <c r="AY97" s="9">
        <v>0</v>
      </c>
      <c r="AZ97" s="14">
        <f t="shared" si="3"/>
        <v>12027.5206</v>
      </c>
    </row>
    <row r="98" spans="1:52">
      <c r="A98" s="9" t="s">
        <v>33</v>
      </c>
      <c r="B98" s="9" t="s">
        <v>101</v>
      </c>
      <c r="C98" s="9" t="s">
        <v>132</v>
      </c>
      <c r="D98" s="9">
        <v>0</v>
      </c>
      <c r="E98" s="9">
        <v>0</v>
      </c>
      <c r="F98" s="9">
        <v>0</v>
      </c>
      <c r="G98" s="9">
        <v>0</v>
      </c>
      <c r="H98" s="9">
        <v>2.0615</v>
      </c>
      <c r="I98" s="9">
        <v>818.2217</v>
      </c>
      <c r="J98" s="9">
        <v>3.0923</v>
      </c>
      <c r="K98" s="9">
        <v>1227.3326</v>
      </c>
      <c r="L98" s="9">
        <v>0</v>
      </c>
      <c r="M98" s="9">
        <v>19000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9">
        <v>0</v>
      </c>
      <c r="AQ98" s="9">
        <v>0</v>
      </c>
      <c r="AR98" s="9">
        <v>0</v>
      </c>
      <c r="AS98" s="9">
        <v>0</v>
      </c>
      <c r="AT98" s="9">
        <v>1.0365</v>
      </c>
      <c r="AU98" s="9">
        <v>411.3732</v>
      </c>
      <c r="AV98" s="9">
        <v>0</v>
      </c>
      <c r="AW98" s="9">
        <v>0</v>
      </c>
      <c r="AX98" s="9">
        <v>0</v>
      </c>
      <c r="AY98" s="9">
        <v>0</v>
      </c>
      <c r="AZ98" s="14">
        <f t="shared" si="3"/>
        <v>21456.9275</v>
      </c>
    </row>
    <row r="99" spans="1:52">
      <c r="A99" s="9" t="s">
        <v>33</v>
      </c>
      <c r="B99" s="9" t="s">
        <v>101</v>
      </c>
      <c r="C99" s="9" t="s">
        <v>133</v>
      </c>
      <c r="D99" s="9">
        <v>0</v>
      </c>
      <c r="E99" s="9">
        <v>0</v>
      </c>
      <c r="F99" s="9">
        <v>0</v>
      </c>
      <c r="G99" s="9">
        <v>0</v>
      </c>
      <c r="H99" s="9">
        <v>2.9225</v>
      </c>
      <c r="I99" s="9">
        <v>1159.9498</v>
      </c>
      <c r="J99" s="9">
        <v>1.2426</v>
      </c>
      <c r="K99" s="9">
        <v>493.2073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9">
        <v>0</v>
      </c>
      <c r="AO99" s="9">
        <v>0</v>
      </c>
      <c r="AP99" s="9">
        <v>0</v>
      </c>
      <c r="AQ99" s="9">
        <v>0</v>
      </c>
      <c r="AR99" s="9">
        <v>0</v>
      </c>
      <c r="AS99" s="9">
        <v>0</v>
      </c>
      <c r="AT99" s="9">
        <v>0.5175</v>
      </c>
      <c r="AU99" s="9">
        <v>205.3989</v>
      </c>
      <c r="AV99" s="9">
        <v>0</v>
      </c>
      <c r="AW99" s="9">
        <v>0</v>
      </c>
      <c r="AX99" s="9">
        <v>0</v>
      </c>
      <c r="AY99" s="9">
        <v>0</v>
      </c>
      <c r="AZ99" s="14">
        <f t="shared" si="3"/>
        <v>1858.556</v>
      </c>
    </row>
    <row r="100" spans="1:52">
      <c r="A100" s="9" t="s">
        <v>33</v>
      </c>
      <c r="B100" s="9" t="s">
        <v>101</v>
      </c>
      <c r="C100" s="9" t="s">
        <v>134</v>
      </c>
      <c r="D100" s="9">
        <v>0</v>
      </c>
      <c r="E100" s="9">
        <v>0</v>
      </c>
      <c r="F100" s="9">
        <v>0</v>
      </c>
      <c r="G100" s="9">
        <v>0</v>
      </c>
      <c r="H100" s="9">
        <v>18.2556</v>
      </c>
      <c r="I100" s="9">
        <v>7245.7429</v>
      </c>
      <c r="J100" s="9">
        <v>21.0099</v>
      </c>
      <c r="K100" s="9">
        <v>8338.9435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9">
        <v>0</v>
      </c>
      <c r="AO100" s="9">
        <v>0</v>
      </c>
      <c r="AP100" s="9">
        <v>0</v>
      </c>
      <c r="AQ100" s="9">
        <v>0</v>
      </c>
      <c r="AR100" s="9">
        <v>0</v>
      </c>
      <c r="AS100" s="9">
        <v>0</v>
      </c>
      <c r="AT100" s="9">
        <v>0</v>
      </c>
      <c r="AU100" s="9">
        <v>0</v>
      </c>
      <c r="AV100" s="9">
        <v>0</v>
      </c>
      <c r="AW100" s="9">
        <v>0</v>
      </c>
      <c r="AX100" s="9">
        <v>0</v>
      </c>
      <c r="AY100" s="9">
        <v>0</v>
      </c>
      <c r="AZ100" s="14">
        <f t="shared" si="3"/>
        <v>15584.6864</v>
      </c>
    </row>
    <row r="101" spans="1:52">
      <c r="A101" s="9" t="s">
        <v>33</v>
      </c>
      <c r="B101" s="9" t="s">
        <v>101</v>
      </c>
      <c r="C101" s="9" t="s">
        <v>135</v>
      </c>
      <c r="D101" s="9">
        <v>0</v>
      </c>
      <c r="E101" s="9">
        <v>0</v>
      </c>
      <c r="F101" s="9">
        <v>0</v>
      </c>
      <c r="G101" s="9">
        <v>0</v>
      </c>
      <c r="H101" s="9">
        <v>8.4473</v>
      </c>
      <c r="I101" s="9">
        <v>3352.7642</v>
      </c>
      <c r="J101" s="9">
        <v>26.1756</v>
      </c>
      <c r="K101" s="9">
        <v>10389.2527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335.2668</v>
      </c>
      <c r="W101" s="9">
        <v>133069.4045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9">
        <v>0</v>
      </c>
      <c r="AO101" s="9">
        <v>0</v>
      </c>
      <c r="AP101" s="9">
        <v>0</v>
      </c>
      <c r="AQ101" s="9">
        <v>0</v>
      </c>
      <c r="AR101" s="9">
        <v>0</v>
      </c>
      <c r="AS101" s="9">
        <v>0</v>
      </c>
      <c r="AT101" s="9">
        <v>0.176</v>
      </c>
      <c r="AU101" s="9">
        <v>69.8555</v>
      </c>
      <c r="AV101" s="9">
        <v>0</v>
      </c>
      <c r="AW101" s="9">
        <v>0</v>
      </c>
      <c r="AX101" s="9">
        <v>0</v>
      </c>
      <c r="AY101" s="9">
        <v>0</v>
      </c>
      <c r="AZ101" s="14">
        <f t="shared" si="3"/>
        <v>146881.2769</v>
      </c>
    </row>
    <row r="102" spans="1:52">
      <c r="A102" s="9" t="s">
        <v>33</v>
      </c>
      <c r="B102" s="9" t="s">
        <v>101</v>
      </c>
      <c r="C102" s="9" t="s">
        <v>136</v>
      </c>
      <c r="D102" s="9">
        <v>0</v>
      </c>
      <c r="E102" s="9">
        <v>0</v>
      </c>
      <c r="F102" s="9">
        <v>0</v>
      </c>
      <c r="G102" s="9">
        <v>0</v>
      </c>
      <c r="H102" s="9">
        <v>5.875</v>
      </c>
      <c r="I102" s="9">
        <v>2331.8069</v>
      </c>
      <c r="J102" s="9">
        <v>26.4503</v>
      </c>
      <c r="K102" s="9">
        <v>10498.2748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9">
        <v>0</v>
      </c>
      <c r="AG102" s="9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9">
        <v>0</v>
      </c>
      <c r="AO102" s="9">
        <v>0</v>
      </c>
      <c r="AP102" s="9">
        <v>0</v>
      </c>
      <c r="AQ102" s="9">
        <v>0</v>
      </c>
      <c r="AR102" s="9">
        <v>0</v>
      </c>
      <c r="AS102" s="9">
        <v>0</v>
      </c>
      <c r="AT102" s="9">
        <v>1.3012</v>
      </c>
      <c r="AU102" s="9">
        <v>516.4604</v>
      </c>
      <c r="AV102" s="9">
        <v>0</v>
      </c>
      <c r="AW102" s="9">
        <v>0</v>
      </c>
      <c r="AX102" s="9">
        <v>0</v>
      </c>
      <c r="AY102" s="9">
        <v>0</v>
      </c>
      <c r="AZ102" s="14">
        <f t="shared" ref="AZ102:AZ133" si="4">E102+G102+I102+K102+M102+O102+Q102+S102+U102+W102+Y102+AA102+AC102+AE102+AG102+AI102+AK102+AM102+AO102+AQ102+AS102+AU102+AW102+AY102</f>
        <v>13346.5421</v>
      </c>
    </row>
    <row r="103" spans="1:52">
      <c r="A103" s="9" t="s">
        <v>33</v>
      </c>
      <c r="B103" s="9" t="s">
        <v>101</v>
      </c>
      <c r="C103" s="9" t="s">
        <v>137</v>
      </c>
      <c r="D103" s="9">
        <v>0</v>
      </c>
      <c r="E103" s="9">
        <v>0</v>
      </c>
      <c r="F103" s="9">
        <v>0</v>
      </c>
      <c r="G103" s="9">
        <v>0</v>
      </c>
      <c r="H103" s="9">
        <v>9.4126</v>
      </c>
      <c r="I103" s="9">
        <v>3735.9015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9">
        <v>0</v>
      </c>
      <c r="AO103" s="9">
        <v>0</v>
      </c>
      <c r="AP103" s="9">
        <v>0</v>
      </c>
      <c r="AQ103" s="9">
        <v>0</v>
      </c>
      <c r="AR103" s="9">
        <v>0</v>
      </c>
      <c r="AS103" s="9">
        <v>0</v>
      </c>
      <c r="AT103" s="9">
        <v>12.2272</v>
      </c>
      <c r="AU103" s="9">
        <v>4853.0391</v>
      </c>
      <c r="AV103" s="9">
        <v>0</v>
      </c>
      <c r="AW103" s="9">
        <v>0</v>
      </c>
      <c r="AX103" s="9">
        <v>0</v>
      </c>
      <c r="AY103" s="9">
        <v>0</v>
      </c>
      <c r="AZ103" s="14">
        <f t="shared" si="4"/>
        <v>8588.9406</v>
      </c>
    </row>
    <row r="104" spans="1:52">
      <c r="A104" s="9" t="s">
        <v>33</v>
      </c>
      <c r="B104" s="9" t="s">
        <v>101</v>
      </c>
      <c r="C104" s="9" t="s">
        <v>138</v>
      </c>
      <c r="D104" s="9">
        <v>0</v>
      </c>
      <c r="E104" s="9">
        <v>0</v>
      </c>
      <c r="F104" s="9">
        <v>0</v>
      </c>
      <c r="G104" s="9">
        <v>0</v>
      </c>
      <c r="H104" s="9">
        <v>7.8615</v>
      </c>
      <c r="I104" s="9">
        <v>3120.2872</v>
      </c>
      <c r="J104" s="9">
        <v>10.772</v>
      </c>
      <c r="K104" s="9">
        <v>4275.4754</v>
      </c>
      <c r="L104" s="9">
        <v>0</v>
      </c>
      <c r="M104" s="9">
        <v>0</v>
      </c>
      <c r="N104" s="9">
        <v>0</v>
      </c>
      <c r="O104" s="9">
        <v>0</v>
      </c>
      <c r="P104" s="9">
        <v>1.0141</v>
      </c>
      <c r="Q104" s="9">
        <v>402.5171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9">
        <v>0</v>
      </c>
      <c r="AO104" s="9">
        <v>0</v>
      </c>
      <c r="AP104" s="9">
        <v>0</v>
      </c>
      <c r="AQ104" s="9">
        <v>0</v>
      </c>
      <c r="AR104" s="9">
        <v>0</v>
      </c>
      <c r="AS104" s="9">
        <v>0</v>
      </c>
      <c r="AT104" s="9">
        <v>15.4353</v>
      </c>
      <c r="AU104" s="9">
        <v>6126.3779</v>
      </c>
      <c r="AV104" s="9">
        <v>0</v>
      </c>
      <c r="AW104" s="9">
        <v>0</v>
      </c>
      <c r="AX104" s="9">
        <v>0</v>
      </c>
      <c r="AY104" s="9">
        <v>0</v>
      </c>
      <c r="AZ104" s="14">
        <f t="shared" si="4"/>
        <v>13924.6576</v>
      </c>
    </row>
    <row r="105" spans="1:52">
      <c r="A105" s="9" t="s">
        <v>33</v>
      </c>
      <c r="B105" s="9" t="s">
        <v>101</v>
      </c>
      <c r="C105" s="9" t="s">
        <v>139</v>
      </c>
      <c r="D105" s="9">
        <v>0</v>
      </c>
      <c r="E105" s="9">
        <v>0</v>
      </c>
      <c r="F105" s="9">
        <v>0</v>
      </c>
      <c r="G105" s="9">
        <v>0</v>
      </c>
      <c r="H105" s="9">
        <v>10.8962</v>
      </c>
      <c r="I105" s="9">
        <v>4324.7672</v>
      </c>
      <c r="J105" s="9">
        <v>16.3443</v>
      </c>
      <c r="K105" s="9">
        <v>6487.1507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9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9">
        <v>0</v>
      </c>
      <c r="AO105" s="9">
        <v>0</v>
      </c>
      <c r="AP105" s="9">
        <v>0</v>
      </c>
      <c r="AQ105" s="9">
        <v>0</v>
      </c>
      <c r="AR105" s="9">
        <v>0</v>
      </c>
      <c r="AS105" s="9">
        <v>0</v>
      </c>
      <c r="AT105" s="9">
        <v>21.356</v>
      </c>
      <c r="AU105" s="9">
        <v>8476.3245</v>
      </c>
      <c r="AV105" s="9">
        <v>0</v>
      </c>
      <c r="AW105" s="9">
        <v>0</v>
      </c>
      <c r="AX105" s="9">
        <v>0</v>
      </c>
      <c r="AY105" s="9">
        <v>0</v>
      </c>
      <c r="AZ105" s="14">
        <f t="shared" si="4"/>
        <v>19288.2424</v>
      </c>
    </row>
    <row r="106" spans="1:52">
      <c r="A106" s="9" t="s">
        <v>33</v>
      </c>
      <c r="B106" s="9" t="s">
        <v>101</v>
      </c>
      <c r="C106" s="9" t="s">
        <v>140</v>
      </c>
      <c r="D106" s="9">
        <v>0</v>
      </c>
      <c r="E106" s="9">
        <v>0</v>
      </c>
      <c r="F106" s="9">
        <v>0</v>
      </c>
      <c r="G106" s="9">
        <v>0</v>
      </c>
      <c r="H106" s="9">
        <v>2.5176</v>
      </c>
      <c r="I106" s="9">
        <v>999.2505</v>
      </c>
      <c r="J106" s="9">
        <v>3.05</v>
      </c>
      <c r="K106" s="9">
        <v>1210.5673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9">
        <v>0</v>
      </c>
      <c r="AG106" s="9">
        <v>0</v>
      </c>
      <c r="AH106" s="9">
        <v>0</v>
      </c>
      <c r="AI106" s="9">
        <v>0</v>
      </c>
      <c r="AJ106" s="9">
        <v>0</v>
      </c>
      <c r="AK106" s="9">
        <v>0</v>
      </c>
      <c r="AL106" s="9">
        <v>0</v>
      </c>
      <c r="AM106" s="9">
        <v>0</v>
      </c>
      <c r="AN106" s="9">
        <v>0</v>
      </c>
      <c r="AO106" s="9">
        <v>0</v>
      </c>
      <c r="AP106" s="9">
        <v>0</v>
      </c>
      <c r="AQ106" s="9">
        <v>0</v>
      </c>
      <c r="AR106" s="9">
        <v>0</v>
      </c>
      <c r="AS106" s="9">
        <v>0</v>
      </c>
      <c r="AT106" s="9">
        <v>13.9957</v>
      </c>
      <c r="AU106" s="9">
        <v>5554.9614</v>
      </c>
      <c r="AV106" s="9">
        <v>0</v>
      </c>
      <c r="AW106" s="9">
        <v>0</v>
      </c>
      <c r="AX106" s="9">
        <v>0</v>
      </c>
      <c r="AY106" s="9">
        <v>0</v>
      </c>
      <c r="AZ106" s="14">
        <f t="shared" si="4"/>
        <v>7764.7792</v>
      </c>
    </row>
    <row r="107" spans="1:52">
      <c r="A107" s="9" t="s">
        <v>33</v>
      </c>
      <c r="B107" s="9" t="s">
        <v>101</v>
      </c>
      <c r="C107" s="9" t="s">
        <v>141</v>
      </c>
      <c r="D107" s="9">
        <v>0</v>
      </c>
      <c r="E107" s="9">
        <v>0</v>
      </c>
      <c r="F107" s="9">
        <v>0</v>
      </c>
      <c r="G107" s="9">
        <v>0</v>
      </c>
      <c r="H107" s="9">
        <v>8.4735</v>
      </c>
      <c r="I107" s="9">
        <v>3363.183</v>
      </c>
      <c r="J107" s="9">
        <v>6.3098</v>
      </c>
      <c r="K107" s="9">
        <v>2504.4014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9">
        <v>0</v>
      </c>
      <c r="AO107" s="9">
        <v>0</v>
      </c>
      <c r="AP107" s="9">
        <v>0</v>
      </c>
      <c r="AQ107" s="9">
        <v>0</v>
      </c>
      <c r="AR107" s="9">
        <v>0</v>
      </c>
      <c r="AS107" s="9">
        <v>0</v>
      </c>
      <c r="AT107" s="9">
        <v>3.88</v>
      </c>
      <c r="AU107" s="9">
        <v>1539.9953</v>
      </c>
      <c r="AV107" s="9">
        <v>0</v>
      </c>
      <c r="AW107" s="9">
        <v>0</v>
      </c>
      <c r="AX107" s="9">
        <v>0</v>
      </c>
      <c r="AY107" s="9">
        <v>0</v>
      </c>
      <c r="AZ107" s="14">
        <f t="shared" si="4"/>
        <v>7407.5797</v>
      </c>
    </row>
    <row r="108" spans="1:52">
      <c r="A108" s="9" t="s">
        <v>33</v>
      </c>
      <c r="B108" s="9" t="s">
        <v>101</v>
      </c>
      <c r="C108" s="9" t="s">
        <v>142</v>
      </c>
      <c r="D108" s="9">
        <v>0</v>
      </c>
      <c r="E108" s="9">
        <v>0</v>
      </c>
      <c r="F108" s="9">
        <v>0</v>
      </c>
      <c r="G108" s="9">
        <v>0</v>
      </c>
      <c r="H108" s="9">
        <v>5.7204</v>
      </c>
      <c r="I108" s="9">
        <v>2270.4611</v>
      </c>
      <c r="J108" s="9">
        <v>20.1514</v>
      </c>
      <c r="K108" s="9">
        <v>7998.1957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>
        <v>0</v>
      </c>
      <c r="AJ108" s="9">
        <v>0</v>
      </c>
      <c r="AK108" s="9">
        <v>0</v>
      </c>
      <c r="AL108" s="9">
        <v>0</v>
      </c>
      <c r="AM108" s="9">
        <v>0</v>
      </c>
      <c r="AN108" s="9">
        <v>0</v>
      </c>
      <c r="AO108" s="9">
        <v>0</v>
      </c>
      <c r="AP108" s="9">
        <v>0</v>
      </c>
      <c r="AQ108" s="9">
        <v>0</v>
      </c>
      <c r="AR108" s="9">
        <v>0</v>
      </c>
      <c r="AS108" s="9">
        <v>0</v>
      </c>
      <c r="AT108" s="9">
        <v>7.8875</v>
      </c>
      <c r="AU108" s="9">
        <v>3130.5961</v>
      </c>
      <c r="AV108" s="9">
        <v>0</v>
      </c>
      <c r="AW108" s="9">
        <v>0</v>
      </c>
      <c r="AX108" s="9">
        <v>0</v>
      </c>
      <c r="AY108" s="9">
        <v>0</v>
      </c>
      <c r="AZ108" s="14">
        <f t="shared" si="4"/>
        <v>13399.2529</v>
      </c>
    </row>
    <row r="109" spans="1:52">
      <c r="A109" s="9" t="s">
        <v>33</v>
      </c>
      <c r="B109" s="9" t="s">
        <v>101</v>
      </c>
      <c r="C109" s="9" t="s">
        <v>143</v>
      </c>
      <c r="D109" s="9">
        <v>0</v>
      </c>
      <c r="E109" s="9">
        <v>0</v>
      </c>
      <c r="F109" s="9">
        <v>0</v>
      </c>
      <c r="G109" s="9">
        <v>0</v>
      </c>
      <c r="H109" s="9">
        <v>7.7982</v>
      </c>
      <c r="I109" s="9">
        <v>3095.154</v>
      </c>
      <c r="J109" s="9">
        <v>10.3454</v>
      </c>
      <c r="K109" s="9">
        <v>4106.1553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9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9">
        <v>0</v>
      </c>
      <c r="AO109" s="9">
        <v>0</v>
      </c>
      <c r="AP109" s="9">
        <v>0</v>
      </c>
      <c r="AQ109" s="9">
        <v>0</v>
      </c>
      <c r="AR109" s="9">
        <v>0</v>
      </c>
      <c r="AS109" s="9">
        <v>0</v>
      </c>
      <c r="AT109" s="9">
        <v>24.7392</v>
      </c>
      <c r="AU109" s="9">
        <v>9819.1535</v>
      </c>
      <c r="AV109" s="9">
        <v>0</v>
      </c>
      <c r="AW109" s="9">
        <v>0</v>
      </c>
      <c r="AX109" s="9">
        <v>0</v>
      </c>
      <c r="AY109" s="9">
        <v>0</v>
      </c>
      <c r="AZ109" s="14">
        <f t="shared" si="4"/>
        <v>17020.4628</v>
      </c>
    </row>
    <row r="110" spans="1:52">
      <c r="A110" s="9" t="s">
        <v>33</v>
      </c>
      <c r="B110" s="9" t="s">
        <v>101</v>
      </c>
      <c r="C110" s="9" t="s">
        <v>144</v>
      </c>
      <c r="D110" s="9">
        <v>0</v>
      </c>
      <c r="E110" s="9">
        <v>0</v>
      </c>
      <c r="F110" s="9">
        <v>0</v>
      </c>
      <c r="G110" s="9">
        <v>0</v>
      </c>
      <c r="H110" s="9">
        <v>7.6362</v>
      </c>
      <c r="I110" s="9">
        <v>3030.8536</v>
      </c>
      <c r="J110" s="9">
        <v>65.4652</v>
      </c>
      <c r="K110" s="9">
        <v>25983.5267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9">
        <v>0</v>
      </c>
      <c r="AG110" s="9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9">
        <v>0</v>
      </c>
      <c r="AO110" s="9">
        <v>0</v>
      </c>
      <c r="AP110" s="9">
        <v>0</v>
      </c>
      <c r="AQ110" s="9">
        <v>0</v>
      </c>
      <c r="AR110" s="9">
        <v>0</v>
      </c>
      <c r="AS110" s="9">
        <v>0</v>
      </c>
      <c r="AT110" s="9">
        <v>10.887</v>
      </c>
      <c r="AU110" s="9">
        <v>4321.1156</v>
      </c>
      <c r="AV110" s="9">
        <v>0</v>
      </c>
      <c r="AW110" s="9">
        <v>0</v>
      </c>
      <c r="AX110" s="9">
        <v>0</v>
      </c>
      <c r="AY110" s="9">
        <v>0</v>
      </c>
      <c r="AZ110" s="14">
        <f t="shared" si="4"/>
        <v>33335.4959</v>
      </c>
    </row>
    <row r="111" spans="1:52">
      <c r="A111" s="9" t="s">
        <v>33</v>
      </c>
      <c r="B111" s="9" t="s">
        <v>101</v>
      </c>
      <c r="C111" s="9" t="s">
        <v>145</v>
      </c>
      <c r="D111" s="9">
        <v>0</v>
      </c>
      <c r="E111" s="9">
        <v>0</v>
      </c>
      <c r="F111" s="9">
        <v>0</v>
      </c>
      <c r="G111" s="9">
        <v>0</v>
      </c>
      <c r="H111" s="9">
        <v>3.6957</v>
      </c>
      <c r="I111" s="9">
        <v>1466.8376</v>
      </c>
      <c r="J111" s="9">
        <v>14.0759</v>
      </c>
      <c r="K111" s="9">
        <v>5586.8131</v>
      </c>
      <c r="L111" s="9">
        <v>0</v>
      </c>
      <c r="M111" s="9">
        <v>0</v>
      </c>
      <c r="N111" s="9">
        <v>0</v>
      </c>
      <c r="O111" s="9">
        <v>0</v>
      </c>
      <c r="P111" s="9">
        <v>0.3504</v>
      </c>
      <c r="Q111" s="9">
        <v>139.0671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0</v>
      </c>
      <c r="AH111" s="9">
        <v>0</v>
      </c>
      <c r="AI111" s="9">
        <v>0</v>
      </c>
      <c r="AJ111" s="9">
        <v>0</v>
      </c>
      <c r="AK111" s="9">
        <v>0</v>
      </c>
      <c r="AL111" s="9">
        <v>0</v>
      </c>
      <c r="AM111" s="9">
        <v>0</v>
      </c>
      <c r="AN111" s="9">
        <v>0</v>
      </c>
      <c r="AO111" s="9">
        <v>0</v>
      </c>
      <c r="AP111" s="9">
        <v>0</v>
      </c>
      <c r="AQ111" s="9">
        <v>0</v>
      </c>
      <c r="AR111" s="9">
        <v>0</v>
      </c>
      <c r="AS111" s="9">
        <v>0</v>
      </c>
      <c r="AT111" s="9">
        <v>0.7583</v>
      </c>
      <c r="AU111" s="9">
        <v>300.9736</v>
      </c>
      <c r="AV111" s="9">
        <v>0</v>
      </c>
      <c r="AW111" s="9">
        <v>0</v>
      </c>
      <c r="AX111" s="9">
        <v>0</v>
      </c>
      <c r="AY111" s="9">
        <v>0</v>
      </c>
      <c r="AZ111" s="14">
        <f t="shared" si="4"/>
        <v>7493.6914</v>
      </c>
    </row>
    <row r="112" spans="1:52">
      <c r="A112" s="9" t="s">
        <v>33</v>
      </c>
      <c r="B112" s="9" t="s">
        <v>101</v>
      </c>
      <c r="C112" s="9" t="s">
        <v>146</v>
      </c>
      <c r="D112" s="9">
        <v>0</v>
      </c>
      <c r="E112" s="9">
        <v>0</v>
      </c>
      <c r="F112" s="9">
        <v>0</v>
      </c>
      <c r="G112" s="9">
        <v>0</v>
      </c>
      <c r="H112" s="9">
        <v>7.8665</v>
      </c>
      <c r="I112" s="9">
        <v>3122.2416</v>
      </c>
      <c r="J112" s="9">
        <v>21.4445</v>
      </c>
      <c r="K112" s="9">
        <v>8511.4428</v>
      </c>
      <c r="L112" s="9">
        <v>0</v>
      </c>
      <c r="M112" s="9">
        <v>0</v>
      </c>
      <c r="N112" s="9">
        <v>0</v>
      </c>
      <c r="O112" s="9">
        <v>0</v>
      </c>
      <c r="P112" s="9">
        <v>4.7491</v>
      </c>
      <c r="Q112" s="9">
        <v>1884.9446</v>
      </c>
      <c r="R112" s="9">
        <v>0</v>
      </c>
      <c r="S112" s="9">
        <v>0</v>
      </c>
      <c r="T112" s="9">
        <v>0</v>
      </c>
      <c r="U112" s="9">
        <v>0</v>
      </c>
      <c r="V112" s="9">
        <v>507.944</v>
      </c>
      <c r="W112" s="9">
        <v>201606.0213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>
        <v>0</v>
      </c>
      <c r="AH112" s="9">
        <v>0</v>
      </c>
      <c r="AI112" s="9">
        <v>0</v>
      </c>
      <c r="AJ112" s="9">
        <v>0</v>
      </c>
      <c r="AK112" s="9">
        <v>0</v>
      </c>
      <c r="AL112" s="9">
        <v>0</v>
      </c>
      <c r="AM112" s="9">
        <v>0</v>
      </c>
      <c r="AN112" s="9">
        <v>0</v>
      </c>
      <c r="AO112" s="9">
        <v>0</v>
      </c>
      <c r="AP112" s="9">
        <v>0</v>
      </c>
      <c r="AQ112" s="9">
        <v>0</v>
      </c>
      <c r="AR112" s="9">
        <v>0</v>
      </c>
      <c r="AS112" s="9">
        <v>0</v>
      </c>
      <c r="AT112" s="9">
        <v>3.4443</v>
      </c>
      <c r="AU112" s="9">
        <v>1367.0633</v>
      </c>
      <c r="AV112" s="9">
        <v>0</v>
      </c>
      <c r="AW112" s="9">
        <v>0</v>
      </c>
      <c r="AX112" s="9">
        <v>0</v>
      </c>
      <c r="AY112" s="9">
        <v>0</v>
      </c>
      <c r="AZ112" s="14">
        <f t="shared" si="4"/>
        <v>216491.7136</v>
      </c>
    </row>
    <row r="113" spans="1:52">
      <c r="A113" s="9" t="s">
        <v>33</v>
      </c>
      <c r="B113" s="9" t="s">
        <v>101</v>
      </c>
      <c r="C113" s="9" t="s">
        <v>147</v>
      </c>
      <c r="D113" s="9">
        <v>0</v>
      </c>
      <c r="E113" s="9">
        <v>0</v>
      </c>
      <c r="F113" s="9">
        <v>0</v>
      </c>
      <c r="G113" s="9">
        <v>0</v>
      </c>
      <c r="H113" s="9">
        <v>97.1999</v>
      </c>
      <c r="I113" s="9">
        <v>38579.2148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 s="9">
        <v>0</v>
      </c>
      <c r="AG113" s="9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9">
        <v>0</v>
      </c>
      <c r="AO113" s="9">
        <v>0</v>
      </c>
      <c r="AP113" s="9">
        <v>0</v>
      </c>
      <c r="AQ113" s="9">
        <v>0</v>
      </c>
      <c r="AR113" s="9">
        <v>0</v>
      </c>
      <c r="AS113" s="9">
        <v>0</v>
      </c>
      <c r="AT113" s="9">
        <v>184.47</v>
      </c>
      <c r="AU113" s="9">
        <v>73217.2498</v>
      </c>
      <c r="AV113" s="9">
        <v>0</v>
      </c>
      <c r="AW113" s="9">
        <v>0</v>
      </c>
      <c r="AX113" s="9">
        <v>0</v>
      </c>
      <c r="AY113" s="9">
        <v>0</v>
      </c>
      <c r="AZ113" s="14">
        <f t="shared" si="4"/>
        <v>111796.4646</v>
      </c>
    </row>
    <row r="114" spans="1:52">
      <c r="A114" s="9" t="s">
        <v>33</v>
      </c>
      <c r="B114" s="9" t="s">
        <v>101</v>
      </c>
      <c r="C114" s="9" t="s">
        <v>148</v>
      </c>
      <c r="D114" s="9">
        <v>0</v>
      </c>
      <c r="E114" s="9">
        <v>0</v>
      </c>
      <c r="F114" s="9">
        <v>0</v>
      </c>
      <c r="G114" s="9">
        <v>0</v>
      </c>
      <c r="H114" s="9">
        <v>0.9269</v>
      </c>
      <c r="I114" s="9">
        <v>367.8922</v>
      </c>
      <c r="J114" s="9">
        <v>0.2307</v>
      </c>
      <c r="K114" s="9">
        <v>91.5543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163.3536</v>
      </c>
      <c r="W114" s="9">
        <v>64836.024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9">
        <v>0</v>
      </c>
      <c r="AG114" s="9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0</v>
      </c>
      <c r="AN114" s="9">
        <v>0</v>
      </c>
      <c r="AO114" s="9">
        <v>0</v>
      </c>
      <c r="AP114" s="9">
        <v>0</v>
      </c>
      <c r="AQ114" s="9">
        <v>0</v>
      </c>
      <c r="AR114" s="9">
        <v>0</v>
      </c>
      <c r="AS114" s="9">
        <v>0</v>
      </c>
      <c r="AT114" s="9">
        <v>4.1437</v>
      </c>
      <c r="AU114" s="9">
        <v>1644.6626</v>
      </c>
      <c r="AV114" s="9">
        <v>0</v>
      </c>
      <c r="AW114" s="9">
        <v>0</v>
      </c>
      <c r="AX114" s="9">
        <v>0</v>
      </c>
      <c r="AY114" s="9">
        <v>0</v>
      </c>
      <c r="AZ114" s="14">
        <f t="shared" si="4"/>
        <v>66940.1331</v>
      </c>
    </row>
    <row r="115" spans="1:52">
      <c r="A115" s="9" t="s">
        <v>33</v>
      </c>
      <c r="B115" s="9" t="s">
        <v>101</v>
      </c>
      <c r="C115" s="9" t="s">
        <v>149</v>
      </c>
      <c r="D115" s="9">
        <v>0</v>
      </c>
      <c r="E115" s="9">
        <v>0</v>
      </c>
      <c r="F115" s="9">
        <v>0</v>
      </c>
      <c r="G115" s="9">
        <v>0</v>
      </c>
      <c r="H115" s="9">
        <v>18.1199</v>
      </c>
      <c r="I115" s="9">
        <v>7191.8772</v>
      </c>
      <c r="J115" s="9">
        <v>27.1265</v>
      </c>
      <c r="K115" s="9">
        <v>10766.6508</v>
      </c>
      <c r="L115" s="9">
        <v>0</v>
      </c>
      <c r="M115" s="9">
        <v>0</v>
      </c>
      <c r="N115" s="9">
        <v>0</v>
      </c>
      <c r="O115" s="9">
        <v>0</v>
      </c>
      <c r="P115" s="9">
        <v>19.7455</v>
      </c>
      <c r="Q115" s="9">
        <v>7837.1015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 s="9">
        <v>0</v>
      </c>
      <c r="AG115" s="9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9">
        <v>0</v>
      </c>
      <c r="AO115" s="9">
        <v>0</v>
      </c>
      <c r="AP115" s="9">
        <v>0</v>
      </c>
      <c r="AQ115" s="9">
        <v>0</v>
      </c>
      <c r="AR115" s="9">
        <v>0</v>
      </c>
      <c r="AS115" s="9">
        <v>0</v>
      </c>
      <c r="AT115" s="9">
        <v>5.815</v>
      </c>
      <c r="AU115" s="9">
        <v>2308.0084</v>
      </c>
      <c r="AV115" s="9">
        <v>0</v>
      </c>
      <c r="AW115" s="9">
        <v>0</v>
      </c>
      <c r="AX115" s="9">
        <v>0</v>
      </c>
      <c r="AY115" s="9">
        <v>0</v>
      </c>
      <c r="AZ115" s="14">
        <f t="shared" si="4"/>
        <v>28103.6379</v>
      </c>
    </row>
    <row r="116" spans="1:52">
      <c r="A116" s="9" t="s">
        <v>33</v>
      </c>
      <c r="B116" s="9" t="s">
        <v>101</v>
      </c>
      <c r="C116" s="9" t="s">
        <v>150</v>
      </c>
      <c r="D116" s="9">
        <v>0</v>
      </c>
      <c r="E116" s="9">
        <v>0</v>
      </c>
      <c r="F116" s="9">
        <v>0</v>
      </c>
      <c r="G116" s="9">
        <v>0</v>
      </c>
      <c r="H116" s="9">
        <v>13.6074</v>
      </c>
      <c r="I116" s="9">
        <v>5400.8444</v>
      </c>
      <c r="J116" s="9">
        <v>20.411</v>
      </c>
      <c r="K116" s="9">
        <v>8101.2666</v>
      </c>
      <c r="L116" s="9">
        <v>0</v>
      </c>
      <c r="M116" s="9">
        <v>23000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>
        <v>0</v>
      </c>
      <c r="AG116" s="9">
        <v>0</v>
      </c>
      <c r="AH116" s="9">
        <v>0</v>
      </c>
      <c r="AI116" s="9">
        <v>0</v>
      </c>
      <c r="AJ116" s="9">
        <v>0</v>
      </c>
      <c r="AK116" s="9">
        <v>0</v>
      </c>
      <c r="AL116" s="9">
        <v>0</v>
      </c>
      <c r="AM116" s="9">
        <v>0</v>
      </c>
      <c r="AN116" s="9">
        <v>0</v>
      </c>
      <c r="AO116" s="9">
        <v>0</v>
      </c>
      <c r="AP116" s="9">
        <v>0</v>
      </c>
      <c r="AQ116" s="9">
        <v>0</v>
      </c>
      <c r="AR116" s="9">
        <v>0</v>
      </c>
      <c r="AS116" s="9">
        <v>0</v>
      </c>
      <c r="AT116" s="9">
        <v>27.4176</v>
      </c>
      <c r="AU116" s="9">
        <v>10882.2099</v>
      </c>
      <c r="AV116" s="9">
        <v>0</v>
      </c>
      <c r="AW116" s="9">
        <v>0</v>
      </c>
      <c r="AX116" s="9">
        <v>0</v>
      </c>
      <c r="AY116" s="9">
        <v>0</v>
      </c>
      <c r="AZ116" s="14">
        <f t="shared" si="4"/>
        <v>47384.3209</v>
      </c>
    </row>
    <row r="117" spans="1:52">
      <c r="A117" s="9" t="s">
        <v>33</v>
      </c>
      <c r="B117" s="9" t="s">
        <v>101</v>
      </c>
      <c r="C117" s="9" t="s">
        <v>151</v>
      </c>
      <c r="D117" s="9">
        <v>0</v>
      </c>
      <c r="E117" s="9">
        <v>0</v>
      </c>
      <c r="F117" s="9">
        <v>0</v>
      </c>
      <c r="G117" s="9">
        <v>0</v>
      </c>
      <c r="H117" s="9">
        <v>16.049</v>
      </c>
      <c r="I117" s="9">
        <v>6369.9444</v>
      </c>
      <c r="J117" s="9">
        <v>95.9771</v>
      </c>
      <c r="K117" s="9">
        <v>38093.8789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0</v>
      </c>
      <c r="AE117" s="9">
        <v>0</v>
      </c>
      <c r="AF117" s="9">
        <v>0</v>
      </c>
      <c r="AG117" s="9">
        <v>0</v>
      </c>
      <c r="AH117" s="9">
        <v>0</v>
      </c>
      <c r="AI117" s="9">
        <v>0</v>
      </c>
      <c r="AJ117" s="9">
        <v>0</v>
      </c>
      <c r="AK117" s="9">
        <v>0</v>
      </c>
      <c r="AL117" s="9">
        <v>0</v>
      </c>
      <c r="AM117" s="9">
        <v>0</v>
      </c>
      <c r="AN117" s="9">
        <v>0</v>
      </c>
      <c r="AO117" s="9">
        <v>0</v>
      </c>
      <c r="AP117" s="9">
        <v>0</v>
      </c>
      <c r="AQ117" s="9">
        <v>0</v>
      </c>
      <c r="AR117" s="9">
        <v>0</v>
      </c>
      <c r="AS117" s="9">
        <v>0</v>
      </c>
      <c r="AT117" s="9">
        <v>4.1382</v>
      </c>
      <c r="AU117" s="9">
        <v>1642.4764</v>
      </c>
      <c r="AV117" s="9">
        <v>0</v>
      </c>
      <c r="AW117" s="9">
        <v>0</v>
      </c>
      <c r="AX117" s="9">
        <v>0</v>
      </c>
      <c r="AY117" s="9">
        <v>0</v>
      </c>
      <c r="AZ117" s="14">
        <f t="shared" si="4"/>
        <v>46106.2997</v>
      </c>
    </row>
    <row r="118" spans="1:52">
      <c r="A118" s="9" t="s">
        <v>33</v>
      </c>
      <c r="B118" s="9" t="s">
        <v>101</v>
      </c>
      <c r="C118" s="9" t="s">
        <v>152</v>
      </c>
      <c r="D118" s="9">
        <v>0</v>
      </c>
      <c r="E118" s="9">
        <v>0</v>
      </c>
      <c r="F118" s="9">
        <v>0</v>
      </c>
      <c r="G118" s="9">
        <v>0</v>
      </c>
      <c r="H118" s="9">
        <v>7.3887</v>
      </c>
      <c r="I118" s="9">
        <v>2932.6368</v>
      </c>
      <c r="J118" s="9">
        <v>11.0831</v>
      </c>
      <c r="K118" s="9">
        <v>4398.9552</v>
      </c>
      <c r="L118" s="9">
        <v>0</v>
      </c>
      <c r="M118" s="9">
        <v>43200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E118" s="9">
        <v>0</v>
      </c>
      <c r="AF118" s="9">
        <v>0</v>
      </c>
      <c r="AG118" s="9">
        <v>0</v>
      </c>
      <c r="AH118" s="9">
        <v>0</v>
      </c>
      <c r="AI118" s="9">
        <v>0</v>
      </c>
      <c r="AJ118" s="9">
        <v>0</v>
      </c>
      <c r="AK118" s="9">
        <v>0</v>
      </c>
      <c r="AL118" s="9">
        <v>0</v>
      </c>
      <c r="AM118" s="9">
        <v>0</v>
      </c>
      <c r="AN118" s="9">
        <v>0</v>
      </c>
      <c r="AO118" s="9">
        <v>0</v>
      </c>
      <c r="AP118" s="9">
        <v>0</v>
      </c>
      <c r="AQ118" s="9">
        <v>0</v>
      </c>
      <c r="AR118" s="9">
        <v>0</v>
      </c>
      <c r="AS118" s="9">
        <v>0</v>
      </c>
      <c r="AT118" s="9">
        <v>20.0102</v>
      </c>
      <c r="AU118" s="9">
        <v>7942.1843</v>
      </c>
      <c r="AV118" s="9">
        <v>0</v>
      </c>
      <c r="AW118" s="9">
        <v>0</v>
      </c>
      <c r="AX118" s="9">
        <v>0</v>
      </c>
      <c r="AY118" s="9">
        <v>0</v>
      </c>
      <c r="AZ118" s="14">
        <f t="shared" si="4"/>
        <v>58473.7763</v>
      </c>
    </row>
    <row r="119" spans="1:52">
      <c r="A119" s="9" t="s">
        <v>33</v>
      </c>
      <c r="B119" s="9" t="s">
        <v>101</v>
      </c>
      <c r="C119" s="9" t="s">
        <v>153</v>
      </c>
      <c r="D119" s="9">
        <v>0</v>
      </c>
      <c r="E119" s="9">
        <v>0</v>
      </c>
      <c r="F119" s="9">
        <v>0</v>
      </c>
      <c r="G119" s="9">
        <v>0</v>
      </c>
      <c r="H119" s="9">
        <v>10.04</v>
      </c>
      <c r="I119" s="9">
        <v>3984.92</v>
      </c>
      <c r="J119" s="9">
        <v>27.2913</v>
      </c>
      <c r="K119" s="9">
        <v>10832.0926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9">
        <v>0</v>
      </c>
      <c r="AI119" s="9">
        <v>0</v>
      </c>
      <c r="AJ119" s="9">
        <v>0</v>
      </c>
      <c r="AK119" s="9">
        <v>0</v>
      </c>
      <c r="AL119" s="9">
        <v>0</v>
      </c>
      <c r="AM119" s="9">
        <v>0</v>
      </c>
      <c r="AN119" s="9">
        <v>0</v>
      </c>
      <c r="AO119" s="9">
        <v>0</v>
      </c>
      <c r="AP119" s="9">
        <v>0</v>
      </c>
      <c r="AQ119" s="9">
        <v>0</v>
      </c>
      <c r="AR119" s="9">
        <v>0</v>
      </c>
      <c r="AS119" s="9">
        <v>0</v>
      </c>
      <c r="AT119" s="9">
        <v>10.2976</v>
      </c>
      <c r="AU119" s="9">
        <v>4087.1792</v>
      </c>
      <c r="AV119" s="9">
        <v>0</v>
      </c>
      <c r="AW119" s="9">
        <v>0</v>
      </c>
      <c r="AX119" s="9">
        <v>0</v>
      </c>
      <c r="AY119" s="9">
        <v>0</v>
      </c>
      <c r="AZ119" s="14">
        <f t="shared" si="4"/>
        <v>18904.1918</v>
      </c>
    </row>
    <row r="120" spans="1:52">
      <c r="A120" s="9" t="s">
        <v>33</v>
      </c>
      <c r="B120" s="9" t="s">
        <v>101</v>
      </c>
      <c r="C120" s="9" t="s">
        <v>154</v>
      </c>
      <c r="D120" s="9">
        <v>0</v>
      </c>
      <c r="E120" s="9">
        <v>0</v>
      </c>
      <c r="F120" s="9">
        <v>0</v>
      </c>
      <c r="G120" s="9">
        <v>0</v>
      </c>
      <c r="H120" s="9">
        <v>7.3576</v>
      </c>
      <c r="I120" s="9">
        <v>2920.2811</v>
      </c>
      <c r="J120" s="9">
        <v>18.6421</v>
      </c>
      <c r="K120" s="9">
        <v>7399.1455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0</v>
      </c>
      <c r="AH120" s="9">
        <v>0</v>
      </c>
      <c r="AI120" s="9">
        <v>0</v>
      </c>
      <c r="AJ120" s="9">
        <v>0</v>
      </c>
      <c r="AK120" s="9">
        <v>0</v>
      </c>
      <c r="AL120" s="9">
        <v>0</v>
      </c>
      <c r="AM120" s="9">
        <v>0</v>
      </c>
      <c r="AN120" s="9">
        <v>0</v>
      </c>
      <c r="AO120" s="9">
        <v>0</v>
      </c>
      <c r="AP120" s="9">
        <v>0</v>
      </c>
      <c r="AQ120" s="9">
        <v>0</v>
      </c>
      <c r="AR120" s="9">
        <v>0</v>
      </c>
      <c r="AS120" s="9">
        <v>0</v>
      </c>
      <c r="AT120" s="9">
        <v>0.4264</v>
      </c>
      <c r="AU120" s="9">
        <v>169.2407</v>
      </c>
      <c r="AV120" s="9">
        <v>0</v>
      </c>
      <c r="AW120" s="9">
        <v>0</v>
      </c>
      <c r="AX120" s="9">
        <v>0</v>
      </c>
      <c r="AY120" s="9">
        <v>0</v>
      </c>
      <c r="AZ120" s="14">
        <f t="shared" si="4"/>
        <v>10488.6673</v>
      </c>
    </row>
    <row r="121" spans="1:52">
      <c r="A121" s="9" t="s">
        <v>33</v>
      </c>
      <c r="B121" s="9" t="s">
        <v>101</v>
      </c>
      <c r="C121" s="9" t="s">
        <v>155</v>
      </c>
      <c r="D121" s="9">
        <v>0</v>
      </c>
      <c r="E121" s="9">
        <v>0</v>
      </c>
      <c r="F121" s="9">
        <v>0</v>
      </c>
      <c r="G121" s="9">
        <v>0</v>
      </c>
      <c r="H121" s="9">
        <v>13.5678</v>
      </c>
      <c r="I121" s="9">
        <v>5385.1281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0</v>
      </c>
      <c r="AE121" s="9">
        <v>0</v>
      </c>
      <c r="AF121" s="9">
        <v>0</v>
      </c>
      <c r="AG121" s="9">
        <v>0</v>
      </c>
      <c r="AH121" s="9">
        <v>0</v>
      </c>
      <c r="AI121" s="9">
        <v>0</v>
      </c>
      <c r="AJ121" s="9">
        <v>0</v>
      </c>
      <c r="AK121" s="9">
        <v>0</v>
      </c>
      <c r="AL121" s="9">
        <v>0</v>
      </c>
      <c r="AM121" s="9">
        <v>0</v>
      </c>
      <c r="AN121" s="9">
        <v>0</v>
      </c>
      <c r="AO121" s="9">
        <v>0</v>
      </c>
      <c r="AP121" s="9">
        <v>0</v>
      </c>
      <c r="AQ121" s="9">
        <v>0</v>
      </c>
      <c r="AR121" s="9">
        <v>0</v>
      </c>
      <c r="AS121" s="9">
        <v>0</v>
      </c>
      <c r="AT121" s="9">
        <v>4.0522</v>
      </c>
      <c r="AU121" s="9">
        <v>1608.3266</v>
      </c>
      <c r="AV121" s="9">
        <v>0</v>
      </c>
      <c r="AW121" s="9">
        <v>0</v>
      </c>
      <c r="AX121" s="9">
        <v>0</v>
      </c>
      <c r="AY121" s="9">
        <v>0</v>
      </c>
      <c r="AZ121" s="14">
        <f t="shared" si="4"/>
        <v>6993.4547</v>
      </c>
    </row>
    <row r="122" spans="1:52">
      <c r="A122" s="9" t="s">
        <v>33</v>
      </c>
      <c r="B122" s="9" t="s">
        <v>101</v>
      </c>
      <c r="C122" s="9" t="s">
        <v>156</v>
      </c>
      <c r="D122" s="9">
        <v>0</v>
      </c>
      <c r="E122" s="9">
        <v>0</v>
      </c>
      <c r="F122" s="9">
        <v>0</v>
      </c>
      <c r="G122" s="9">
        <v>0</v>
      </c>
      <c r="H122" s="9">
        <v>24.7177</v>
      </c>
      <c r="I122" s="9">
        <v>9810.5971</v>
      </c>
      <c r="J122" s="9">
        <v>12.8642</v>
      </c>
      <c r="K122" s="9">
        <v>5105.8798</v>
      </c>
      <c r="L122" s="9">
        <v>0</v>
      </c>
      <c r="M122" s="9">
        <v>0</v>
      </c>
      <c r="N122" s="9">
        <v>0</v>
      </c>
      <c r="O122" s="9">
        <v>0</v>
      </c>
      <c r="P122" s="9">
        <v>24.7177</v>
      </c>
      <c r="Q122" s="9">
        <v>9810.5971</v>
      </c>
      <c r="R122" s="9">
        <v>0</v>
      </c>
      <c r="S122" s="9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0</v>
      </c>
      <c r="AE122" s="9">
        <v>0</v>
      </c>
      <c r="AF122" s="9">
        <v>0</v>
      </c>
      <c r="AG122" s="9">
        <v>0</v>
      </c>
      <c r="AH122" s="9">
        <v>0</v>
      </c>
      <c r="AI122" s="9">
        <v>0</v>
      </c>
      <c r="AJ122" s="9">
        <v>0</v>
      </c>
      <c r="AK122" s="9">
        <v>0</v>
      </c>
      <c r="AL122" s="9">
        <v>0</v>
      </c>
      <c r="AM122" s="9">
        <v>0</v>
      </c>
      <c r="AN122" s="9">
        <v>0</v>
      </c>
      <c r="AO122" s="9">
        <v>0</v>
      </c>
      <c r="AP122" s="9">
        <v>0</v>
      </c>
      <c r="AQ122" s="9">
        <v>0</v>
      </c>
      <c r="AR122" s="9">
        <v>0</v>
      </c>
      <c r="AS122" s="9">
        <v>0</v>
      </c>
      <c r="AT122" s="9">
        <v>44.0211</v>
      </c>
      <c r="AU122" s="9">
        <v>17472.2322</v>
      </c>
      <c r="AV122" s="9">
        <v>0</v>
      </c>
      <c r="AW122" s="9">
        <v>0</v>
      </c>
      <c r="AX122" s="9">
        <v>0</v>
      </c>
      <c r="AY122" s="9">
        <v>0</v>
      </c>
      <c r="AZ122" s="14">
        <f t="shared" si="4"/>
        <v>42199.3062</v>
      </c>
    </row>
    <row r="123" spans="1:52">
      <c r="A123" s="9" t="s">
        <v>33</v>
      </c>
      <c r="B123" s="9" t="s">
        <v>101</v>
      </c>
      <c r="C123" s="9" t="s">
        <v>157</v>
      </c>
      <c r="D123" s="9">
        <v>0</v>
      </c>
      <c r="E123" s="9">
        <v>0</v>
      </c>
      <c r="F123" s="9">
        <v>0</v>
      </c>
      <c r="G123" s="9">
        <v>0</v>
      </c>
      <c r="H123" s="9">
        <v>93.0855</v>
      </c>
      <c r="I123" s="9">
        <v>36946.1962</v>
      </c>
      <c r="J123" s="9">
        <v>81.5015</v>
      </c>
      <c r="K123" s="9">
        <v>32348.4264</v>
      </c>
      <c r="L123" s="9">
        <v>0</v>
      </c>
      <c r="M123" s="9">
        <v>0</v>
      </c>
      <c r="N123" s="9">
        <v>0</v>
      </c>
      <c r="O123" s="9">
        <v>0</v>
      </c>
      <c r="P123" s="9">
        <v>2.0356</v>
      </c>
      <c r="Q123" s="9">
        <v>807.9376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0</v>
      </c>
      <c r="AE123" s="9">
        <v>0</v>
      </c>
      <c r="AF123" s="9">
        <v>0</v>
      </c>
      <c r="AG123" s="9">
        <v>0</v>
      </c>
      <c r="AH123" s="9">
        <v>0</v>
      </c>
      <c r="AI123" s="9">
        <v>0</v>
      </c>
      <c r="AJ123" s="9">
        <v>0</v>
      </c>
      <c r="AK123" s="9">
        <v>0</v>
      </c>
      <c r="AL123" s="9">
        <v>0</v>
      </c>
      <c r="AM123" s="9">
        <v>0</v>
      </c>
      <c r="AN123" s="9">
        <v>0</v>
      </c>
      <c r="AO123" s="9">
        <v>0</v>
      </c>
      <c r="AP123" s="9">
        <v>0</v>
      </c>
      <c r="AQ123" s="9">
        <v>0</v>
      </c>
      <c r="AR123" s="9">
        <v>0</v>
      </c>
      <c r="AS123" s="9">
        <v>0</v>
      </c>
      <c r="AT123" s="9">
        <v>2.9966</v>
      </c>
      <c r="AU123" s="9">
        <v>1189.3796</v>
      </c>
      <c r="AV123" s="9">
        <v>0</v>
      </c>
      <c r="AW123" s="9">
        <v>0</v>
      </c>
      <c r="AX123" s="9">
        <v>0</v>
      </c>
      <c r="AY123" s="9">
        <v>0</v>
      </c>
      <c r="AZ123" s="14">
        <f t="shared" si="4"/>
        <v>71291.9398</v>
      </c>
    </row>
    <row r="124" spans="1:52">
      <c r="A124" s="9" t="s">
        <v>33</v>
      </c>
      <c r="B124" s="9" t="s">
        <v>101</v>
      </c>
      <c r="C124" s="9" t="s">
        <v>158</v>
      </c>
      <c r="D124" s="9">
        <v>0</v>
      </c>
      <c r="E124" s="9">
        <v>0</v>
      </c>
      <c r="F124" s="9">
        <v>0</v>
      </c>
      <c r="G124" s="9">
        <v>0</v>
      </c>
      <c r="H124" s="9">
        <v>27.2987</v>
      </c>
      <c r="I124" s="9">
        <v>10835.0178</v>
      </c>
      <c r="J124" s="9">
        <v>38.7778</v>
      </c>
      <c r="K124" s="9">
        <v>15391.1613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0</v>
      </c>
      <c r="AE124" s="9">
        <v>0</v>
      </c>
      <c r="AF124" s="9">
        <v>0</v>
      </c>
      <c r="AG124" s="9">
        <v>0</v>
      </c>
      <c r="AH124" s="9">
        <v>0</v>
      </c>
      <c r="AI124" s="9">
        <v>0</v>
      </c>
      <c r="AJ124" s="9">
        <v>0</v>
      </c>
      <c r="AK124" s="9">
        <v>0</v>
      </c>
      <c r="AL124" s="9">
        <v>0</v>
      </c>
      <c r="AM124" s="9">
        <v>0</v>
      </c>
      <c r="AN124" s="9">
        <v>0</v>
      </c>
      <c r="AO124" s="9">
        <v>0</v>
      </c>
      <c r="AP124" s="9">
        <v>0</v>
      </c>
      <c r="AQ124" s="9">
        <v>0</v>
      </c>
      <c r="AR124" s="9">
        <v>0</v>
      </c>
      <c r="AS124" s="9">
        <v>0</v>
      </c>
      <c r="AT124" s="9">
        <v>25.3712</v>
      </c>
      <c r="AU124" s="9">
        <v>10069.9914</v>
      </c>
      <c r="AV124" s="9">
        <v>0</v>
      </c>
      <c r="AW124" s="9">
        <v>0</v>
      </c>
      <c r="AX124" s="9">
        <v>0</v>
      </c>
      <c r="AY124" s="9">
        <v>0</v>
      </c>
      <c r="AZ124" s="14">
        <f t="shared" si="4"/>
        <v>36296.1705</v>
      </c>
    </row>
    <row r="125" spans="1:52">
      <c r="A125" s="9" t="s">
        <v>33</v>
      </c>
      <c r="B125" s="9" t="s">
        <v>101</v>
      </c>
      <c r="C125" s="9" t="s">
        <v>159</v>
      </c>
      <c r="D125" s="9">
        <v>0</v>
      </c>
      <c r="E125" s="9">
        <v>0</v>
      </c>
      <c r="F125" s="9">
        <v>0</v>
      </c>
      <c r="G125" s="9">
        <v>0</v>
      </c>
      <c r="H125" s="9">
        <v>6.0623</v>
      </c>
      <c r="I125" s="9">
        <v>2406.1783</v>
      </c>
      <c r="J125" s="9">
        <v>42.5338</v>
      </c>
      <c r="K125" s="9">
        <v>16881.9045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0</v>
      </c>
      <c r="AE125" s="9">
        <v>0</v>
      </c>
      <c r="AF125" s="9">
        <v>0</v>
      </c>
      <c r="AG125" s="9">
        <v>0</v>
      </c>
      <c r="AH125" s="9">
        <v>0</v>
      </c>
      <c r="AI125" s="9">
        <v>0</v>
      </c>
      <c r="AJ125" s="9">
        <v>0</v>
      </c>
      <c r="AK125" s="9">
        <v>0</v>
      </c>
      <c r="AL125" s="9">
        <v>0</v>
      </c>
      <c r="AM125" s="9">
        <v>0</v>
      </c>
      <c r="AN125" s="9">
        <v>0</v>
      </c>
      <c r="AO125" s="9">
        <v>0</v>
      </c>
      <c r="AP125" s="9">
        <v>0</v>
      </c>
      <c r="AQ125" s="9">
        <v>0</v>
      </c>
      <c r="AR125" s="9">
        <v>0</v>
      </c>
      <c r="AS125" s="9">
        <v>0</v>
      </c>
      <c r="AT125" s="9">
        <v>0.3172</v>
      </c>
      <c r="AU125" s="9">
        <v>125.8986</v>
      </c>
      <c r="AV125" s="9">
        <v>0</v>
      </c>
      <c r="AW125" s="9">
        <v>0</v>
      </c>
      <c r="AX125" s="9">
        <v>0</v>
      </c>
      <c r="AY125" s="9">
        <v>0</v>
      </c>
      <c r="AZ125" s="14">
        <f t="shared" si="4"/>
        <v>19413.9814</v>
      </c>
    </row>
    <row r="126" spans="1:52">
      <c r="A126" s="9" t="s">
        <v>33</v>
      </c>
      <c r="B126" s="9" t="s">
        <v>101</v>
      </c>
      <c r="C126" s="9" t="s">
        <v>160</v>
      </c>
      <c r="D126" s="9">
        <v>0</v>
      </c>
      <c r="E126" s="9">
        <v>0</v>
      </c>
      <c r="F126" s="9">
        <v>0</v>
      </c>
      <c r="G126" s="9">
        <v>0</v>
      </c>
      <c r="H126" s="9">
        <v>4.8492</v>
      </c>
      <c r="I126" s="9">
        <v>1924.671</v>
      </c>
      <c r="J126" s="9">
        <v>34.8872</v>
      </c>
      <c r="K126" s="9">
        <v>13846.9549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9">
        <v>0</v>
      </c>
      <c r="AE126" s="9">
        <v>0</v>
      </c>
      <c r="AF126" s="9">
        <v>0</v>
      </c>
      <c r="AG126" s="9">
        <v>0</v>
      </c>
      <c r="AH126" s="9">
        <v>0</v>
      </c>
      <c r="AI126" s="9">
        <v>0</v>
      </c>
      <c r="AJ126" s="9">
        <v>0</v>
      </c>
      <c r="AK126" s="9">
        <v>0</v>
      </c>
      <c r="AL126" s="9">
        <v>0</v>
      </c>
      <c r="AM126" s="9">
        <v>0</v>
      </c>
      <c r="AN126" s="9">
        <v>0</v>
      </c>
      <c r="AO126" s="9">
        <v>0</v>
      </c>
      <c r="AP126" s="9">
        <v>0</v>
      </c>
      <c r="AQ126" s="9">
        <v>0</v>
      </c>
      <c r="AR126" s="9">
        <v>0</v>
      </c>
      <c r="AS126" s="9">
        <v>0</v>
      </c>
      <c r="AT126" s="9">
        <v>12.1626</v>
      </c>
      <c r="AU126" s="9">
        <v>4827.393</v>
      </c>
      <c r="AV126" s="9">
        <v>0</v>
      </c>
      <c r="AW126" s="9">
        <v>0</v>
      </c>
      <c r="AX126" s="9">
        <v>0</v>
      </c>
      <c r="AY126" s="9">
        <v>0</v>
      </c>
      <c r="AZ126" s="14">
        <f t="shared" si="4"/>
        <v>20599.0189</v>
      </c>
    </row>
    <row r="127" spans="1:52">
      <c r="A127" s="9" t="s">
        <v>33</v>
      </c>
      <c r="B127" s="9" t="s">
        <v>101</v>
      </c>
      <c r="C127" s="9" t="s">
        <v>161</v>
      </c>
      <c r="D127" s="9">
        <v>0</v>
      </c>
      <c r="E127" s="9">
        <v>0</v>
      </c>
      <c r="F127" s="9">
        <v>0</v>
      </c>
      <c r="G127" s="9">
        <v>0</v>
      </c>
      <c r="H127" s="9">
        <v>4.3147</v>
      </c>
      <c r="I127" s="9">
        <v>1712.5232</v>
      </c>
      <c r="J127" s="9">
        <v>6.472</v>
      </c>
      <c r="K127" s="9">
        <v>2568.7848</v>
      </c>
      <c r="L127" s="9">
        <v>0</v>
      </c>
      <c r="M127" s="9">
        <v>32000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9">
        <v>0</v>
      </c>
      <c r="AE127" s="9">
        <v>0</v>
      </c>
      <c r="AF127" s="9">
        <v>0</v>
      </c>
      <c r="AG127" s="9">
        <v>0</v>
      </c>
      <c r="AH127" s="9">
        <v>0</v>
      </c>
      <c r="AI127" s="9">
        <v>0</v>
      </c>
      <c r="AJ127" s="9">
        <v>0</v>
      </c>
      <c r="AK127" s="9">
        <v>0</v>
      </c>
      <c r="AL127" s="9">
        <v>0</v>
      </c>
      <c r="AM127" s="9">
        <v>0</v>
      </c>
      <c r="AN127" s="9">
        <v>0</v>
      </c>
      <c r="AO127" s="9">
        <v>0</v>
      </c>
      <c r="AP127" s="9">
        <v>0</v>
      </c>
      <c r="AQ127" s="9">
        <v>0</v>
      </c>
      <c r="AR127" s="9">
        <v>0</v>
      </c>
      <c r="AS127" s="9">
        <v>0</v>
      </c>
      <c r="AT127" s="9">
        <v>5.1952</v>
      </c>
      <c r="AU127" s="9">
        <v>2062.0061</v>
      </c>
      <c r="AV127" s="9">
        <v>0</v>
      </c>
      <c r="AW127" s="9">
        <v>0</v>
      </c>
      <c r="AX127" s="9">
        <v>0</v>
      </c>
      <c r="AY127" s="9">
        <v>0</v>
      </c>
      <c r="AZ127" s="14">
        <f t="shared" si="4"/>
        <v>38343.3141</v>
      </c>
    </row>
    <row r="128" spans="1:52">
      <c r="A128" s="9" t="s">
        <v>33</v>
      </c>
      <c r="B128" s="9" t="s">
        <v>101</v>
      </c>
      <c r="C128" s="9" t="s">
        <v>162</v>
      </c>
      <c r="D128" s="9">
        <v>0</v>
      </c>
      <c r="E128" s="9">
        <v>0</v>
      </c>
      <c r="F128" s="9">
        <v>0</v>
      </c>
      <c r="G128" s="9">
        <v>0</v>
      </c>
      <c r="H128" s="9">
        <v>11.1131</v>
      </c>
      <c r="I128" s="9">
        <v>4410.8569</v>
      </c>
      <c r="J128" s="9">
        <v>29.7763</v>
      </c>
      <c r="K128" s="9">
        <v>11818.4001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9">
        <v>0</v>
      </c>
      <c r="AF128" s="9">
        <v>0</v>
      </c>
      <c r="AG128" s="9">
        <v>0</v>
      </c>
      <c r="AH128" s="9">
        <v>0</v>
      </c>
      <c r="AI128" s="9">
        <v>0</v>
      </c>
      <c r="AJ128" s="9">
        <v>0</v>
      </c>
      <c r="AK128" s="9">
        <v>0</v>
      </c>
      <c r="AL128" s="9">
        <v>0</v>
      </c>
      <c r="AM128" s="9">
        <v>0</v>
      </c>
      <c r="AN128" s="9">
        <v>0</v>
      </c>
      <c r="AO128" s="9">
        <v>0</v>
      </c>
      <c r="AP128" s="9">
        <v>0</v>
      </c>
      <c r="AQ128" s="9">
        <v>0</v>
      </c>
      <c r="AR128" s="9">
        <v>0</v>
      </c>
      <c r="AS128" s="9">
        <v>0</v>
      </c>
      <c r="AT128" s="9">
        <v>0</v>
      </c>
      <c r="AU128" s="9">
        <v>0</v>
      </c>
      <c r="AV128" s="9">
        <v>0</v>
      </c>
      <c r="AW128" s="9">
        <v>0</v>
      </c>
      <c r="AX128" s="9">
        <v>0</v>
      </c>
      <c r="AY128" s="9">
        <v>0</v>
      </c>
      <c r="AZ128" s="14">
        <f t="shared" si="4"/>
        <v>16229.257</v>
      </c>
    </row>
    <row r="129" spans="1:52">
      <c r="A129" s="9" t="s">
        <v>33</v>
      </c>
      <c r="B129" s="9" t="s">
        <v>101</v>
      </c>
      <c r="C129" s="9" t="s">
        <v>163</v>
      </c>
      <c r="D129" s="9">
        <v>0</v>
      </c>
      <c r="E129" s="9">
        <v>0</v>
      </c>
      <c r="F129" s="9">
        <v>0</v>
      </c>
      <c r="G129" s="9">
        <v>0</v>
      </c>
      <c r="H129" s="9">
        <v>10.1814</v>
      </c>
      <c r="I129" s="9">
        <v>4041.0564</v>
      </c>
      <c r="J129" s="9">
        <v>27.9546</v>
      </c>
      <c r="K129" s="9">
        <v>11095.3318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0</v>
      </c>
      <c r="AE129" s="9">
        <v>0</v>
      </c>
      <c r="AF129" s="9">
        <v>0</v>
      </c>
      <c r="AG129" s="9">
        <v>0</v>
      </c>
      <c r="AH129" s="9">
        <v>0</v>
      </c>
      <c r="AI129" s="9">
        <v>0</v>
      </c>
      <c r="AJ129" s="9">
        <v>0</v>
      </c>
      <c r="AK129" s="9">
        <v>0</v>
      </c>
      <c r="AL129" s="9">
        <v>0</v>
      </c>
      <c r="AM129" s="9">
        <v>0</v>
      </c>
      <c r="AN129" s="9">
        <v>0</v>
      </c>
      <c r="AO129" s="9">
        <v>0</v>
      </c>
      <c r="AP129" s="9">
        <v>0</v>
      </c>
      <c r="AQ129" s="9">
        <v>0</v>
      </c>
      <c r="AR129" s="9">
        <v>0</v>
      </c>
      <c r="AS129" s="9">
        <v>0</v>
      </c>
      <c r="AT129" s="9">
        <v>181.8273</v>
      </c>
      <c r="AU129" s="9">
        <v>72168.3487</v>
      </c>
      <c r="AV129" s="9">
        <v>0</v>
      </c>
      <c r="AW129" s="9">
        <v>0</v>
      </c>
      <c r="AX129" s="9">
        <v>0</v>
      </c>
      <c r="AY129" s="9">
        <v>0</v>
      </c>
      <c r="AZ129" s="14">
        <f t="shared" si="4"/>
        <v>87304.7369</v>
      </c>
    </row>
    <row r="130" spans="1:52">
      <c r="A130" s="9" t="s">
        <v>33</v>
      </c>
      <c r="B130" s="9" t="s">
        <v>101</v>
      </c>
      <c r="C130" s="9" t="s">
        <v>164</v>
      </c>
      <c r="D130" s="9">
        <v>0</v>
      </c>
      <c r="E130" s="9">
        <v>0</v>
      </c>
      <c r="F130" s="9">
        <v>0</v>
      </c>
      <c r="G130" s="9">
        <v>0</v>
      </c>
      <c r="H130" s="9">
        <v>7.4193</v>
      </c>
      <c r="I130" s="9">
        <v>2944.7825</v>
      </c>
      <c r="J130" s="9">
        <v>13.9568</v>
      </c>
      <c r="K130" s="9">
        <v>5539.54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 s="9">
        <v>0</v>
      </c>
      <c r="AG130" s="9">
        <v>0</v>
      </c>
      <c r="AH130" s="9">
        <v>0</v>
      </c>
      <c r="AI130" s="9">
        <v>0</v>
      </c>
      <c r="AJ130" s="9">
        <v>0</v>
      </c>
      <c r="AK130" s="9">
        <v>0</v>
      </c>
      <c r="AL130" s="9">
        <v>0</v>
      </c>
      <c r="AM130" s="9">
        <v>0</v>
      </c>
      <c r="AN130" s="9">
        <v>0</v>
      </c>
      <c r="AO130" s="9">
        <v>0</v>
      </c>
      <c r="AP130" s="9">
        <v>0</v>
      </c>
      <c r="AQ130" s="9">
        <v>0</v>
      </c>
      <c r="AR130" s="9">
        <v>0</v>
      </c>
      <c r="AS130" s="9">
        <v>0</v>
      </c>
      <c r="AT130" s="9">
        <v>2.2911</v>
      </c>
      <c r="AU130" s="9">
        <v>909.3652</v>
      </c>
      <c r="AV130" s="9">
        <v>0</v>
      </c>
      <c r="AW130" s="9">
        <v>0</v>
      </c>
      <c r="AX130" s="9">
        <v>0</v>
      </c>
      <c r="AY130" s="9">
        <v>0</v>
      </c>
      <c r="AZ130" s="14">
        <f t="shared" si="4"/>
        <v>9393.6877</v>
      </c>
    </row>
    <row r="131" spans="1:52">
      <c r="A131" s="9" t="s">
        <v>33</v>
      </c>
      <c r="B131" s="9" t="s">
        <v>101</v>
      </c>
      <c r="C131" s="9" t="s">
        <v>165</v>
      </c>
      <c r="D131" s="9">
        <v>0</v>
      </c>
      <c r="E131" s="9">
        <v>0</v>
      </c>
      <c r="F131" s="9">
        <v>0</v>
      </c>
      <c r="G131" s="9">
        <v>0</v>
      </c>
      <c r="H131" s="9">
        <v>8.5653</v>
      </c>
      <c r="I131" s="9">
        <v>3399.619</v>
      </c>
      <c r="J131" s="9">
        <v>90.619</v>
      </c>
      <c r="K131" s="9">
        <v>35967.2328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9">
        <v>0</v>
      </c>
      <c r="AE131" s="9">
        <v>0</v>
      </c>
      <c r="AF131" s="9">
        <v>0</v>
      </c>
      <c r="AG131" s="9">
        <v>0</v>
      </c>
      <c r="AH131" s="9">
        <v>0</v>
      </c>
      <c r="AI131" s="9">
        <v>0</v>
      </c>
      <c r="AJ131" s="9">
        <v>0</v>
      </c>
      <c r="AK131" s="9">
        <v>0</v>
      </c>
      <c r="AL131" s="9">
        <v>0</v>
      </c>
      <c r="AM131" s="9">
        <v>0</v>
      </c>
      <c r="AN131" s="9">
        <v>0</v>
      </c>
      <c r="AO131" s="9">
        <v>0</v>
      </c>
      <c r="AP131" s="9">
        <v>0</v>
      </c>
      <c r="AQ131" s="9">
        <v>0</v>
      </c>
      <c r="AR131" s="9">
        <v>0</v>
      </c>
      <c r="AS131" s="9">
        <v>0</v>
      </c>
      <c r="AT131" s="9">
        <v>32.2265</v>
      </c>
      <c r="AU131" s="9">
        <v>12790.9015</v>
      </c>
      <c r="AV131" s="9">
        <v>0</v>
      </c>
      <c r="AW131" s="9">
        <v>0</v>
      </c>
      <c r="AX131" s="9">
        <v>0</v>
      </c>
      <c r="AY131" s="9">
        <v>0</v>
      </c>
      <c r="AZ131" s="14">
        <f t="shared" si="4"/>
        <v>52157.7533</v>
      </c>
    </row>
    <row r="132" spans="1:52">
      <c r="A132" s="9" t="s">
        <v>33</v>
      </c>
      <c r="B132" s="9" t="s">
        <v>101</v>
      </c>
      <c r="C132" s="9" t="s">
        <v>166</v>
      </c>
      <c r="D132" s="9">
        <v>0</v>
      </c>
      <c r="E132" s="9">
        <v>0</v>
      </c>
      <c r="F132" s="9">
        <v>0</v>
      </c>
      <c r="G132" s="9">
        <v>0</v>
      </c>
      <c r="H132" s="9">
        <v>6.0539</v>
      </c>
      <c r="I132" s="9">
        <v>2402.8213</v>
      </c>
      <c r="J132" s="9">
        <v>5.3346</v>
      </c>
      <c r="K132" s="9">
        <v>2117.3228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E132" s="9">
        <v>0</v>
      </c>
      <c r="AF132" s="9">
        <v>0</v>
      </c>
      <c r="AG132" s="9">
        <v>0</v>
      </c>
      <c r="AH132" s="9">
        <v>0</v>
      </c>
      <c r="AI132" s="9">
        <v>0</v>
      </c>
      <c r="AJ132" s="9">
        <v>0</v>
      </c>
      <c r="AK132" s="9">
        <v>0</v>
      </c>
      <c r="AL132" s="9">
        <v>0</v>
      </c>
      <c r="AM132" s="9">
        <v>0</v>
      </c>
      <c r="AN132" s="9">
        <v>0</v>
      </c>
      <c r="AO132" s="9">
        <v>0</v>
      </c>
      <c r="AP132" s="9">
        <v>0</v>
      </c>
      <c r="AQ132" s="9">
        <v>0</v>
      </c>
      <c r="AR132" s="9">
        <v>0</v>
      </c>
      <c r="AS132" s="9">
        <v>0</v>
      </c>
      <c r="AT132" s="9">
        <v>2.1758</v>
      </c>
      <c r="AU132" s="9">
        <v>863.5881</v>
      </c>
      <c r="AV132" s="9">
        <v>0</v>
      </c>
      <c r="AW132" s="9">
        <v>0</v>
      </c>
      <c r="AX132" s="9">
        <v>0</v>
      </c>
      <c r="AY132" s="9">
        <v>0</v>
      </c>
      <c r="AZ132" s="14">
        <f t="shared" si="4"/>
        <v>5383.7322</v>
      </c>
    </row>
    <row r="133" spans="1:52">
      <c r="A133" s="9" t="s">
        <v>33</v>
      </c>
      <c r="B133" s="9" t="s">
        <v>101</v>
      </c>
      <c r="C133" s="9" t="s">
        <v>167</v>
      </c>
      <c r="D133" s="9">
        <v>0</v>
      </c>
      <c r="E133" s="9">
        <v>0</v>
      </c>
      <c r="F133" s="9">
        <v>0</v>
      </c>
      <c r="G133" s="9">
        <v>0</v>
      </c>
      <c r="H133" s="9">
        <v>5.4287</v>
      </c>
      <c r="I133" s="9">
        <v>2154.6673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>
        <v>0</v>
      </c>
      <c r="AH133" s="9">
        <v>0</v>
      </c>
      <c r="AI133" s="9">
        <v>0</v>
      </c>
      <c r="AJ133" s="9">
        <v>0</v>
      </c>
      <c r="AK133" s="9">
        <v>0</v>
      </c>
      <c r="AL133" s="9">
        <v>0</v>
      </c>
      <c r="AM133" s="9">
        <v>0</v>
      </c>
      <c r="AN133" s="9">
        <v>0</v>
      </c>
      <c r="AO133" s="9">
        <v>0</v>
      </c>
      <c r="AP133" s="9">
        <v>0</v>
      </c>
      <c r="AQ133" s="9">
        <v>0</v>
      </c>
      <c r="AR133" s="9">
        <v>0</v>
      </c>
      <c r="AS133" s="9">
        <v>0</v>
      </c>
      <c r="AT133" s="9">
        <v>7.0294</v>
      </c>
      <c r="AU133" s="9">
        <v>2790.0269</v>
      </c>
      <c r="AV133" s="9">
        <v>0</v>
      </c>
      <c r="AW133" s="9">
        <v>0</v>
      </c>
      <c r="AX133" s="9">
        <v>0</v>
      </c>
      <c r="AY133" s="9">
        <v>0</v>
      </c>
      <c r="AZ133" s="14">
        <f t="shared" si="4"/>
        <v>4944.6942</v>
      </c>
    </row>
    <row r="134" spans="1:52">
      <c r="A134" s="9" t="s">
        <v>33</v>
      </c>
      <c r="B134" s="9" t="s">
        <v>101</v>
      </c>
      <c r="C134" s="9" t="s">
        <v>168</v>
      </c>
      <c r="D134" s="9">
        <v>0</v>
      </c>
      <c r="E134" s="9">
        <v>0</v>
      </c>
      <c r="F134" s="9">
        <v>0</v>
      </c>
      <c r="G134" s="9">
        <v>0</v>
      </c>
      <c r="H134" s="9">
        <v>3.7981</v>
      </c>
      <c r="I134" s="9">
        <v>1507.5022</v>
      </c>
      <c r="J134" s="9">
        <v>1.4306</v>
      </c>
      <c r="K134" s="9">
        <v>567.7939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0</v>
      </c>
      <c r="AF134" s="9">
        <v>0</v>
      </c>
      <c r="AG134" s="9">
        <v>0</v>
      </c>
      <c r="AH134" s="9">
        <v>0</v>
      </c>
      <c r="AI134" s="9">
        <v>0</v>
      </c>
      <c r="AJ134" s="9">
        <v>0</v>
      </c>
      <c r="AK134" s="9">
        <v>0</v>
      </c>
      <c r="AL134" s="9">
        <v>0</v>
      </c>
      <c r="AM134" s="9">
        <v>0</v>
      </c>
      <c r="AN134" s="9">
        <v>0</v>
      </c>
      <c r="AO134" s="9">
        <v>0</v>
      </c>
      <c r="AP134" s="9">
        <v>0</v>
      </c>
      <c r="AQ134" s="9">
        <v>0</v>
      </c>
      <c r="AR134" s="9">
        <v>0</v>
      </c>
      <c r="AS134" s="9">
        <v>0</v>
      </c>
      <c r="AT134" s="9">
        <v>22.072</v>
      </c>
      <c r="AU134" s="9">
        <v>8760.5092</v>
      </c>
      <c r="AV134" s="9">
        <v>0</v>
      </c>
      <c r="AW134" s="9">
        <v>0</v>
      </c>
      <c r="AX134" s="9">
        <v>0</v>
      </c>
      <c r="AY134" s="9">
        <v>0</v>
      </c>
      <c r="AZ134" s="14">
        <f t="shared" ref="AZ134:AZ165" si="5">E134+G134+I134+K134+M134+O134+Q134+S134+U134+W134+Y134+AA134+AC134+AE134+AG134+AI134+AK134+AM134+AO134+AQ134+AS134+AU134+AW134+AY134</f>
        <v>10835.8053</v>
      </c>
    </row>
    <row r="135" spans="1:52">
      <c r="A135" s="9" t="s">
        <v>33</v>
      </c>
      <c r="B135" s="9" t="s">
        <v>101</v>
      </c>
      <c r="C135" s="9" t="s">
        <v>169</v>
      </c>
      <c r="D135" s="9">
        <v>0</v>
      </c>
      <c r="E135" s="9">
        <v>0</v>
      </c>
      <c r="F135" s="9">
        <v>0</v>
      </c>
      <c r="G135" s="9">
        <v>0</v>
      </c>
      <c r="H135" s="9">
        <v>6.5142</v>
      </c>
      <c r="I135" s="9">
        <v>2585.5251</v>
      </c>
      <c r="J135" s="9">
        <v>7.1423</v>
      </c>
      <c r="K135" s="9">
        <v>2834.8257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9">
        <v>0</v>
      </c>
      <c r="AE135" s="9">
        <v>0</v>
      </c>
      <c r="AF135" s="9">
        <v>0</v>
      </c>
      <c r="AG135" s="9">
        <v>0</v>
      </c>
      <c r="AH135" s="9">
        <v>0</v>
      </c>
      <c r="AI135" s="9">
        <v>0</v>
      </c>
      <c r="AJ135" s="9">
        <v>0</v>
      </c>
      <c r="AK135" s="9">
        <v>0</v>
      </c>
      <c r="AL135" s="9">
        <v>0</v>
      </c>
      <c r="AM135" s="9">
        <v>0</v>
      </c>
      <c r="AN135" s="9">
        <v>0</v>
      </c>
      <c r="AO135" s="9">
        <v>0</v>
      </c>
      <c r="AP135" s="9">
        <v>0</v>
      </c>
      <c r="AQ135" s="9">
        <v>0</v>
      </c>
      <c r="AR135" s="9">
        <v>0</v>
      </c>
      <c r="AS135" s="9">
        <v>0</v>
      </c>
      <c r="AT135" s="9">
        <v>3.669</v>
      </c>
      <c r="AU135" s="9">
        <v>1456.2481</v>
      </c>
      <c r="AV135" s="9">
        <v>0</v>
      </c>
      <c r="AW135" s="9">
        <v>0</v>
      </c>
      <c r="AX135" s="9">
        <v>0</v>
      </c>
      <c r="AY135" s="9">
        <v>0</v>
      </c>
      <c r="AZ135" s="14">
        <f t="shared" si="5"/>
        <v>6876.5989</v>
      </c>
    </row>
    <row r="136" spans="1:52">
      <c r="A136" s="9" t="s">
        <v>33</v>
      </c>
      <c r="B136" s="9" t="s">
        <v>101</v>
      </c>
      <c r="C136" s="9" t="s">
        <v>170</v>
      </c>
      <c r="D136" s="9">
        <v>0</v>
      </c>
      <c r="E136" s="9">
        <v>0</v>
      </c>
      <c r="F136" s="9">
        <v>0</v>
      </c>
      <c r="G136" s="9">
        <v>0</v>
      </c>
      <c r="H136" s="9">
        <v>13.2894</v>
      </c>
      <c r="I136" s="9">
        <v>5274.6251</v>
      </c>
      <c r="J136" s="9">
        <v>16.8029</v>
      </c>
      <c r="K136" s="9">
        <v>6669.1758</v>
      </c>
      <c r="L136" s="9">
        <v>0</v>
      </c>
      <c r="M136" s="9">
        <v>0</v>
      </c>
      <c r="N136" s="9">
        <v>0</v>
      </c>
      <c r="O136" s="9">
        <v>0</v>
      </c>
      <c r="P136" s="9">
        <v>13.2894</v>
      </c>
      <c r="Q136" s="9">
        <v>5274.6251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9">
        <v>0</v>
      </c>
      <c r="AE136" s="9">
        <v>0</v>
      </c>
      <c r="AF136" s="9">
        <v>0</v>
      </c>
      <c r="AG136" s="9">
        <v>0</v>
      </c>
      <c r="AH136" s="9">
        <v>0</v>
      </c>
      <c r="AI136" s="9">
        <v>0</v>
      </c>
      <c r="AJ136" s="9">
        <v>0</v>
      </c>
      <c r="AK136" s="9">
        <v>0</v>
      </c>
      <c r="AL136" s="9">
        <v>0</v>
      </c>
      <c r="AM136" s="9">
        <v>0</v>
      </c>
      <c r="AN136" s="9">
        <v>0</v>
      </c>
      <c r="AO136" s="9">
        <v>0</v>
      </c>
      <c r="AP136" s="9">
        <v>0</v>
      </c>
      <c r="AQ136" s="9">
        <v>0</v>
      </c>
      <c r="AR136" s="9">
        <v>0</v>
      </c>
      <c r="AS136" s="9">
        <v>0</v>
      </c>
      <c r="AT136" s="9">
        <v>65.3282</v>
      </c>
      <c r="AU136" s="9">
        <v>25929.1401</v>
      </c>
      <c r="AV136" s="9">
        <v>0</v>
      </c>
      <c r="AW136" s="9">
        <v>0</v>
      </c>
      <c r="AX136" s="9">
        <v>0</v>
      </c>
      <c r="AY136" s="9">
        <v>0</v>
      </c>
      <c r="AZ136" s="14">
        <f t="shared" si="5"/>
        <v>43147.5661</v>
      </c>
    </row>
    <row r="137" spans="1:52">
      <c r="A137" s="9" t="s">
        <v>33</v>
      </c>
      <c r="B137" s="9" t="s">
        <v>101</v>
      </c>
      <c r="C137" s="9" t="s">
        <v>171</v>
      </c>
      <c r="D137" s="9">
        <v>0</v>
      </c>
      <c r="E137" s="9">
        <v>0</v>
      </c>
      <c r="F137" s="9">
        <v>0</v>
      </c>
      <c r="G137" s="9">
        <v>0</v>
      </c>
      <c r="H137" s="9">
        <v>8.173</v>
      </c>
      <c r="I137" s="9">
        <v>3243.9127</v>
      </c>
      <c r="J137" s="9">
        <v>29.7689</v>
      </c>
      <c r="K137" s="9">
        <v>11815.4709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9">
        <v>0</v>
      </c>
      <c r="AE137" s="9">
        <v>0</v>
      </c>
      <c r="AF137" s="9">
        <v>0</v>
      </c>
      <c r="AG137" s="9">
        <v>0</v>
      </c>
      <c r="AH137" s="9">
        <v>0</v>
      </c>
      <c r="AI137" s="9">
        <v>0</v>
      </c>
      <c r="AJ137" s="9">
        <v>0</v>
      </c>
      <c r="AK137" s="9">
        <v>0</v>
      </c>
      <c r="AL137" s="9">
        <v>0</v>
      </c>
      <c r="AM137" s="9">
        <v>0</v>
      </c>
      <c r="AN137" s="9">
        <v>0</v>
      </c>
      <c r="AO137" s="9">
        <v>0</v>
      </c>
      <c r="AP137" s="9">
        <v>0</v>
      </c>
      <c r="AQ137" s="9">
        <v>0</v>
      </c>
      <c r="AR137" s="9">
        <v>0</v>
      </c>
      <c r="AS137" s="9">
        <v>0</v>
      </c>
      <c r="AT137" s="9">
        <v>4.4394</v>
      </c>
      <c r="AU137" s="9">
        <v>1762.0245</v>
      </c>
      <c r="AV137" s="9">
        <v>0</v>
      </c>
      <c r="AW137" s="9">
        <v>0</v>
      </c>
      <c r="AX137" s="9">
        <v>0</v>
      </c>
      <c r="AY137" s="9">
        <v>0</v>
      </c>
      <c r="AZ137" s="14">
        <f t="shared" si="5"/>
        <v>16821.4081</v>
      </c>
    </row>
    <row r="138" spans="1:52">
      <c r="A138" s="9" t="s">
        <v>33</v>
      </c>
      <c r="B138" s="9" t="s">
        <v>101</v>
      </c>
      <c r="C138" s="9" t="s">
        <v>172</v>
      </c>
      <c r="D138" s="9">
        <v>0</v>
      </c>
      <c r="E138" s="9">
        <v>0</v>
      </c>
      <c r="F138" s="9">
        <v>0</v>
      </c>
      <c r="G138" s="9">
        <v>0</v>
      </c>
      <c r="H138" s="9">
        <v>10.996</v>
      </c>
      <c r="I138" s="9">
        <v>4364.3863</v>
      </c>
      <c r="J138" s="9">
        <v>15.6876</v>
      </c>
      <c r="K138" s="9">
        <v>6226.5023</v>
      </c>
      <c r="L138" s="9">
        <v>0</v>
      </c>
      <c r="M138" s="9">
        <v>0</v>
      </c>
      <c r="N138" s="9">
        <v>0</v>
      </c>
      <c r="O138" s="9">
        <v>0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9">
        <v>0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9">
        <v>0</v>
      </c>
      <c r="AC138" s="9">
        <v>0</v>
      </c>
      <c r="AD138" s="9">
        <v>0</v>
      </c>
      <c r="AE138" s="9">
        <v>0</v>
      </c>
      <c r="AF138" s="9">
        <v>0</v>
      </c>
      <c r="AG138" s="9">
        <v>0</v>
      </c>
      <c r="AH138" s="9">
        <v>0</v>
      </c>
      <c r="AI138" s="9">
        <v>0</v>
      </c>
      <c r="AJ138" s="9">
        <v>0</v>
      </c>
      <c r="AK138" s="9">
        <v>0</v>
      </c>
      <c r="AL138" s="9">
        <v>0</v>
      </c>
      <c r="AM138" s="9">
        <v>0</v>
      </c>
      <c r="AN138" s="9">
        <v>0</v>
      </c>
      <c r="AO138" s="9">
        <v>0</v>
      </c>
      <c r="AP138" s="9">
        <v>0</v>
      </c>
      <c r="AQ138" s="9">
        <v>0</v>
      </c>
      <c r="AR138" s="9">
        <v>0</v>
      </c>
      <c r="AS138" s="9">
        <v>0</v>
      </c>
      <c r="AT138" s="9">
        <v>3.4747</v>
      </c>
      <c r="AU138" s="9">
        <v>1379.1104</v>
      </c>
      <c r="AV138" s="9">
        <v>0</v>
      </c>
      <c r="AW138" s="9">
        <v>0</v>
      </c>
      <c r="AX138" s="9">
        <v>0</v>
      </c>
      <c r="AY138" s="9">
        <v>0</v>
      </c>
      <c r="AZ138" s="14">
        <f t="shared" si="5"/>
        <v>11969.999</v>
      </c>
    </row>
    <row r="139" spans="1:52">
      <c r="A139" s="9" t="s">
        <v>33</v>
      </c>
      <c r="B139" s="9" t="s">
        <v>101</v>
      </c>
      <c r="C139" s="9" t="s">
        <v>173</v>
      </c>
      <c r="D139" s="9">
        <v>0</v>
      </c>
      <c r="E139" s="9">
        <v>0</v>
      </c>
      <c r="F139" s="9">
        <v>0</v>
      </c>
      <c r="G139" s="9">
        <v>0</v>
      </c>
      <c r="H139" s="9">
        <v>4.7927</v>
      </c>
      <c r="I139" s="9">
        <v>1902.2474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9">
        <v>0</v>
      </c>
      <c r="AE139" s="9">
        <v>0</v>
      </c>
      <c r="AF139" s="9">
        <v>0</v>
      </c>
      <c r="AG139" s="9">
        <v>0</v>
      </c>
      <c r="AH139" s="9">
        <v>0</v>
      </c>
      <c r="AI139" s="9">
        <v>0</v>
      </c>
      <c r="AJ139" s="9">
        <v>0</v>
      </c>
      <c r="AK139" s="9">
        <v>0</v>
      </c>
      <c r="AL139" s="9">
        <v>0</v>
      </c>
      <c r="AM139" s="9">
        <v>0</v>
      </c>
      <c r="AN139" s="9">
        <v>0</v>
      </c>
      <c r="AO139" s="9">
        <v>0</v>
      </c>
      <c r="AP139" s="9">
        <v>0</v>
      </c>
      <c r="AQ139" s="9">
        <v>0</v>
      </c>
      <c r="AR139" s="9">
        <v>0</v>
      </c>
      <c r="AS139" s="9">
        <v>0</v>
      </c>
      <c r="AT139" s="9">
        <v>0.966</v>
      </c>
      <c r="AU139" s="9">
        <v>383.4112</v>
      </c>
      <c r="AV139" s="9">
        <v>0</v>
      </c>
      <c r="AW139" s="9">
        <v>0</v>
      </c>
      <c r="AX139" s="9">
        <v>0</v>
      </c>
      <c r="AY139" s="9">
        <v>0</v>
      </c>
      <c r="AZ139" s="14">
        <f t="shared" si="5"/>
        <v>2285.6586</v>
      </c>
    </row>
    <row r="140" spans="1:52">
      <c r="A140" s="9" t="s">
        <v>33</v>
      </c>
      <c r="B140" s="9" t="s">
        <v>101</v>
      </c>
      <c r="C140" s="9" t="s">
        <v>174</v>
      </c>
      <c r="D140" s="9">
        <v>0</v>
      </c>
      <c r="E140" s="9">
        <v>0</v>
      </c>
      <c r="F140" s="9">
        <v>0</v>
      </c>
      <c r="G140" s="9">
        <v>0</v>
      </c>
      <c r="H140" s="9">
        <v>16.5998</v>
      </c>
      <c r="I140" s="9">
        <v>6588.5602</v>
      </c>
      <c r="J140" s="9">
        <v>24.8997</v>
      </c>
      <c r="K140" s="9">
        <v>9882.8403</v>
      </c>
      <c r="L140" s="9">
        <v>0</v>
      </c>
      <c r="M140" s="9">
        <v>0</v>
      </c>
      <c r="N140" s="9">
        <v>0</v>
      </c>
      <c r="O140" s="9">
        <v>0</v>
      </c>
      <c r="P140" s="9">
        <v>1.1952</v>
      </c>
      <c r="Q140" s="9">
        <v>474.3763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0</v>
      </c>
      <c r="AC140" s="9">
        <v>0</v>
      </c>
      <c r="AD140" s="9">
        <v>0</v>
      </c>
      <c r="AE140" s="9">
        <v>0</v>
      </c>
      <c r="AF140" s="9">
        <v>0</v>
      </c>
      <c r="AG140" s="9">
        <v>0</v>
      </c>
      <c r="AH140" s="9">
        <v>0</v>
      </c>
      <c r="AI140" s="9">
        <v>0</v>
      </c>
      <c r="AJ140" s="9">
        <v>0</v>
      </c>
      <c r="AK140" s="9">
        <v>0</v>
      </c>
      <c r="AL140" s="9">
        <v>0</v>
      </c>
      <c r="AM140" s="9">
        <v>0</v>
      </c>
      <c r="AN140" s="9">
        <v>0</v>
      </c>
      <c r="AO140" s="9">
        <v>0</v>
      </c>
      <c r="AP140" s="9">
        <v>0</v>
      </c>
      <c r="AQ140" s="9">
        <v>0</v>
      </c>
      <c r="AR140" s="9">
        <v>0</v>
      </c>
      <c r="AS140" s="9">
        <v>0</v>
      </c>
      <c r="AT140" s="9">
        <v>16.39</v>
      </c>
      <c r="AU140" s="9">
        <v>6505.2893</v>
      </c>
      <c r="AV140" s="9">
        <v>0</v>
      </c>
      <c r="AW140" s="9">
        <v>0</v>
      </c>
      <c r="AX140" s="9">
        <v>0</v>
      </c>
      <c r="AY140" s="9">
        <v>0</v>
      </c>
      <c r="AZ140" s="14">
        <f t="shared" si="5"/>
        <v>23451.0661</v>
      </c>
    </row>
    <row r="141" spans="1:52">
      <c r="A141" s="9" t="s">
        <v>33</v>
      </c>
      <c r="B141" s="9" t="s">
        <v>101</v>
      </c>
      <c r="C141" s="9" t="s">
        <v>175</v>
      </c>
      <c r="D141" s="9">
        <v>0</v>
      </c>
      <c r="E141" s="9">
        <v>0</v>
      </c>
      <c r="F141" s="9">
        <v>0</v>
      </c>
      <c r="G141" s="9">
        <v>0</v>
      </c>
      <c r="H141" s="9">
        <v>13.7736</v>
      </c>
      <c r="I141" s="9">
        <v>5466.8102</v>
      </c>
      <c r="J141" s="9">
        <v>20.6603</v>
      </c>
      <c r="K141" s="9">
        <v>8200.2153</v>
      </c>
      <c r="L141" s="9">
        <v>0</v>
      </c>
      <c r="M141" s="9">
        <v>110080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9">
        <v>0</v>
      </c>
      <c r="AE141" s="9">
        <v>0</v>
      </c>
      <c r="AF141" s="9">
        <v>0</v>
      </c>
      <c r="AG141" s="9">
        <v>0</v>
      </c>
      <c r="AH141" s="9">
        <v>0</v>
      </c>
      <c r="AI141" s="9">
        <v>0</v>
      </c>
      <c r="AJ141" s="9">
        <v>0</v>
      </c>
      <c r="AK141" s="9">
        <v>0</v>
      </c>
      <c r="AL141" s="9">
        <v>0</v>
      </c>
      <c r="AM141" s="9">
        <v>0</v>
      </c>
      <c r="AN141" s="9">
        <v>0</v>
      </c>
      <c r="AO141" s="9">
        <v>0</v>
      </c>
      <c r="AP141" s="9">
        <v>0</v>
      </c>
      <c r="AQ141" s="9">
        <v>0</v>
      </c>
      <c r="AR141" s="9">
        <v>0</v>
      </c>
      <c r="AS141" s="9">
        <v>0</v>
      </c>
      <c r="AT141" s="9">
        <v>8.7899</v>
      </c>
      <c r="AU141" s="9">
        <v>3488.7593</v>
      </c>
      <c r="AV141" s="9">
        <v>0</v>
      </c>
      <c r="AW141" s="9">
        <v>0</v>
      </c>
      <c r="AX141" s="9">
        <v>0</v>
      </c>
      <c r="AY141" s="9">
        <v>0</v>
      </c>
      <c r="AZ141" s="14">
        <f t="shared" si="5"/>
        <v>127235.7848</v>
      </c>
    </row>
    <row r="142" spans="1:52">
      <c r="A142" s="9" t="s">
        <v>33</v>
      </c>
      <c r="B142" s="9" t="s">
        <v>101</v>
      </c>
      <c r="C142" s="9" t="s">
        <v>176</v>
      </c>
      <c r="D142" s="9">
        <v>0</v>
      </c>
      <c r="E142" s="9">
        <v>0</v>
      </c>
      <c r="F142" s="9">
        <v>0</v>
      </c>
      <c r="G142" s="9">
        <v>0</v>
      </c>
      <c r="H142" s="9">
        <v>14.1659</v>
      </c>
      <c r="I142" s="9">
        <v>5622.5307</v>
      </c>
      <c r="J142" s="9">
        <v>21.2488</v>
      </c>
      <c r="K142" s="9">
        <v>8433.7961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0</v>
      </c>
      <c r="AE142" s="9">
        <v>0</v>
      </c>
      <c r="AF142" s="9">
        <v>0</v>
      </c>
      <c r="AG142" s="9">
        <v>0</v>
      </c>
      <c r="AH142" s="9">
        <v>0</v>
      </c>
      <c r="AI142" s="9">
        <v>0</v>
      </c>
      <c r="AJ142" s="9">
        <v>0</v>
      </c>
      <c r="AK142" s="9">
        <v>0</v>
      </c>
      <c r="AL142" s="9">
        <v>0</v>
      </c>
      <c r="AM142" s="9">
        <v>0</v>
      </c>
      <c r="AN142" s="9">
        <v>0</v>
      </c>
      <c r="AO142" s="9">
        <v>0</v>
      </c>
      <c r="AP142" s="9">
        <v>0</v>
      </c>
      <c r="AQ142" s="9">
        <v>0</v>
      </c>
      <c r="AR142" s="9">
        <v>0</v>
      </c>
      <c r="AS142" s="9">
        <v>0</v>
      </c>
      <c r="AT142" s="9">
        <v>21.1533</v>
      </c>
      <c r="AU142" s="9">
        <v>8395.8717</v>
      </c>
      <c r="AV142" s="9">
        <v>0</v>
      </c>
      <c r="AW142" s="9">
        <v>0</v>
      </c>
      <c r="AX142" s="9">
        <v>0</v>
      </c>
      <c r="AY142" s="9">
        <v>0</v>
      </c>
      <c r="AZ142" s="14">
        <f t="shared" si="5"/>
        <v>22452.1985</v>
      </c>
    </row>
    <row r="143" spans="1:52">
      <c r="A143" s="9" t="s">
        <v>33</v>
      </c>
      <c r="B143" s="9" t="s">
        <v>101</v>
      </c>
      <c r="C143" s="9" t="s">
        <v>177</v>
      </c>
      <c r="D143" s="9">
        <v>0</v>
      </c>
      <c r="E143" s="9">
        <v>0</v>
      </c>
      <c r="F143" s="9">
        <v>0</v>
      </c>
      <c r="G143" s="9">
        <v>0</v>
      </c>
      <c r="H143" s="9">
        <v>10.2501</v>
      </c>
      <c r="I143" s="9">
        <v>4068.3262</v>
      </c>
      <c r="J143" s="9">
        <v>17.0429</v>
      </c>
      <c r="K143" s="9">
        <v>6764.4094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0</v>
      </c>
      <c r="AE143" s="9">
        <v>0</v>
      </c>
      <c r="AF143" s="9">
        <v>0</v>
      </c>
      <c r="AG143" s="9">
        <v>0</v>
      </c>
      <c r="AH143" s="9">
        <v>0</v>
      </c>
      <c r="AI143" s="9">
        <v>0</v>
      </c>
      <c r="AJ143" s="9">
        <v>0</v>
      </c>
      <c r="AK143" s="9">
        <v>0</v>
      </c>
      <c r="AL143" s="9">
        <v>0</v>
      </c>
      <c r="AM143" s="9">
        <v>0</v>
      </c>
      <c r="AN143" s="9">
        <v>0</v>
      </c>
      <c r="AO143" s="9">
        <v>0</v>
      </c>
      <c r="AP143" s="9">
        <v>0</v>
      </c>
      <c r="AQ143" s="9">
        <v>0</v>
      </c>
      <c r="AR143" s="9">
        <v>0</v>
      </c>
      <c r="AS143" s="9">
        <v>0</v>
      </c>
      <c r="AT143" s="9">
        <v>19.0067</v>
      </c>
      <c r="AU143" s="9">
        <v>7543.8733</v>
      </c>
      <c r="AV143" s="9">
        <v>0</v>
      </c>
      <c r="AW143" s="9">
        <v>0</v>
      </c>
      <c r="AX143" s="9">
        <v>0</v>
      </c>
      <c r="AY143" s="9">
        <v>0</v>
      </c>
      <c r="AZ143" s="14">
        <f t="shared" si="5"/>
        <v>18376.6089</v>
      </c>
    </row>
    <row r="144" spans="1:52">
      <c r="A144" s="9" t="s">
        <v>33</v>
      </c>
      <c r="B144" s="9" t="s">
        <v>101</v>
      </c>
      <c r="C144" s="9" t="s">
        <v>178</v>
      </c>
      <c r="D144" s="9">
        <v>0</v>
      </c>
      <c r="E144" s="9">
        <v>0</v>
      </c>
      <c r="F144" s="9">
        <v>0</v>
      </c>
      <c r="G144" s="9">
        <v>0</v>
      </c>
      <c r="H144" s="9">
        <v>13.6162</v>
      </c>
      <c r="I144" s="9">
        <v>5404.3443</v>
      </c>
      <c r="J144" s="9">
        <v>39.6509</v>
      </c>
      <c r="K144" s="9">
        <v>15737.696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0</v>
      </c>
      <c r="AE144" s="9">
        <v>0</v>
      </c>
      <c r="AF144" s="9">
        <v>0</v>
      </c>
      <c r="AG144" s="9">
        <v>0</v>
      </c>
      <c r="AH144" s="9">
        <v>0</v>
      </c>
      <c r="AI144" s="9">
        <v>0</v>
      </c>
      <c r="AJ144" s="9">
        <v>0</v>
      </c>
      <c r="AK144" s="9">
        <v>0</v>
      </c>
      <c r="AL144" s="9">
        <v>0</v>
      </c>
      <c r="AM144" s="9">
        <v>0</v>
      </c>
      <c r="AN144" s="9">
        <v>0</v>
      </c>
      <c r="AO144" s="9">
        <v>0</v>
      </c>
      <c r="AP144" s="9">
        <v>0</v>
      </c>
      <c r="AQ144" s="9">
        <v>0</v>
      </c>
      <c r="AR144" s="9">
        <v>0</v>
      </c>
      <c r="AS144" s="9">
        <v>0</v>
      </c>
      <c r="AT144" s="9">
        <v>15.3453</v>
      </c>
      <c r="AU144" s="9">
        <v>6090.6535</v>
      </c>
      <c r="AV144" s="9">
        <v>0</v>
      </c>
      <c r="AW144" s="9">
        <v>0</v>
      </c>
      <c r="AX144" s="9">
        <v>0</v>
      </c>
      <c r="AY144" s="9">
        <v>0</v>
      </c>
      <c r="AZ144" s="14">
        <f t="shared" si="5"/>
        <v>27232.6938</v>
      </c>
    </row>
    <row r="145" spans="1:52">
      <c r="A145" s="9" t="s">
        <v>33</v>
      </c>
      <c r="B145" s="9" t="s">
        <v>101</v>
      </c>
      <c r="C145" s="9" t="s">
        <v>179</v>
      </c>
      <c r="D145" s="9">
        <v>0</v>
      </c>
      <c r="E145" s="9">
        <v>0</v>
      </c>
      <c r="F145" s="9">
        <v>0</v>
      </c>
      <c r="G145" s="9">
        <v>0</v>
      </c>
      <c r="H145" s="9">
        <v>92.73</v>
      </c>
      <c r="I145" s="9">
        <v>36805.0934</v>
      </c>
      <c r="J145" s="9">
        <v>416.7939</v>
      </c>
      <c r="K145" s="9">
        <v>165427.9878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0</v>
      </c>
      <c r="AD145" s="9">
        <v>0</v>
      </c>
      <c r="AE145" s="9">
        <v>0</v>
      </c>
      <c r="AF145" s="9">
        <v>0</v>
      </c>
      <c r="AG145" s="9">
        <v>0</v>
      </c>
      <c r="AH145" s="9">
        <v>0</v>
      </c>
      <c r="AI145" s="9">
        <v>0</v>
      </c>
      <c r="AJ145" s="9">
        <v>0</v>
      </c>
      <c r="AK145" s="9">
        <v>0</v>
      </c>
      <c r="AL145" s="9">
        <v>0</v>
      </c>
      <c r="AM145" s="9">
        <v>0</v>
      </c>
      <c r="AN145" s="9">
        <v>0</v>
      </c>
      <c r="AO145" s="9">
        <v>0</v>
      </c>
      <c r="AP145" s="9">
        <v>0</v>
      </c>
      <c r="AQ145" s="9">
        <v>0</v>
      </c>
      <c r="AR145" s="9">
        <v>0</v>
      </c>
      <c r="AS145" s="9">
        <v>0</v>
      </c>
      <c r="AT145" s="9">
        <v>95.91</v>
      </c>
      <c r="AU145" s="9">
        <v>38067.2545</v>
      </c>
      <c r="AV145" s="9">
        <v>0</v>
      </c>
      <c r="AW145" s="9">
        <v>0</v>
      </c>
      <c r="AX145" s="9">
        <v>0</v>
      </c>
      <c r="AY145" s="9">
        <v>0</v>
      </c>
      <c r="AZ145" s="14">
        <f t="shared" si="5"/>
        <v>240300.3357</v>
      </c>
    </row>
    <row r="146" spans="1:52">
      <c r="A146" s="9" t="s">
        <v>33</v>
      </c>
      <c r="B146" s="9" t="s">
        <v>101</v>
      </c>
      <c r="C146" s="9" t="s">
        <v>180</v>
      </c>
      <c r="D146" s="9">
        <v>0</v>
      </c>
      <c r="E146" s="9">
        <v>0</v>
      </c>
      <c r="F146" s="9">
        <v>0</v>
      </c>
      <c r="G146" s="9">
        <v>0</v>
      </c>
      <c r="H146" s="9">
        <v>18.9353</v>
      </c>
      <c r="I146" s="9">
        <v>7515.5262</v>
      </c>
      <c r="J146" s="9">
        <v>13.2629</v>
      </c>
      <c r="K146" s="9">
        <v>5264.1405</v>
      </c>
      <c r="L146" s="9">
        <v>0</v>
      </c>
      <c r="M146" s="9">
        <v>0</v>
      </c>
      <c r="N146" s="9">
        <v>0</v>
      </c>
      <c r="O146" s="9">
        <v>0</v>
      </c>
      <c r="P146" s="9">
        <v>17.856</v>
      </c>
      <c r="Q146" s="9">
        <v>7087.1412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9">
        <v>0</v>
      </c>
      <c r="AE146" s="9">
        <v>0</v>
      </c>
      <c r="AF146" s="9">
        <v>0</v>
      </c>
      <c r="AG146" s="9">
        <v>0</v>
      </c>
      <c r="AH146" s="9">
        <v>0</v>
      </c>
      <c r="AI146" s="9">
        <v>0</v>
      </c>
      <c r="AJ146" s="9">
        <v>0</v>
      </c>
      <c r="AK146" s="9">
        <v>0</v>
      </c>
      <c r="AL146" s="9">
        <v>0</v>
      </c>
      <c r="AM146" s="9">
        <v>0</v>
      </c>
      <c r="AN146" s="9">
        <v>0</v>
      </c>
      <c r="AO146" s="9">
        <v>0</v>
      </c>
      <c r="AP146" s="9">
        <v>0</v>
      </c>
      <c r="AQ146" s="9">
        <v>0</v>
      </c>
      <c r="AR146" s="9">
        <v>0</v>
      </c>
      <c r="AS146" s="9">
        <v>0</v>
      </c>
      <c r="AT146" s="9">
        <v>15.6581</v>
      </c>
      <c r="AU146" s="9">
        <v>6214.8121</v>
      </c>
      <c r="AV146" s="9">
        <v>0</v>
      </c>
      <c r="AW146" s="9">
        <v>0</v>
      </c>
      <c r="AX146" s="9">
        <v>0</v>
      </c>
      <c r="AY146" s="9">
        <v>0</v>
      </c>
      <c r="AZ146" s="14">
        <f t="shared" si="5"/>
        <v>26081.62</v>
      </c>
    </row>
    <row r="147" spans="1:52">
      <c r="A147" s="9" t="s">
        <v>33</v>
      </c>
      <c r="B147" s="9" t="s">
        <v>101</v>
      </c>
      <c r="C147" s="9" t="s">
        <v>181</v>
      </c>
      <c r="D147" s="9">
        <v>0</v>
      </c>
      <c r="E147" s="9">
        <v>0</v>
      </c>
      <c r="F147" s="9">
        <v>0</v>
      </c>
      <c r="G147" s="9">
        <v>0</v>
      </c>
      <c r="H147" s="9">
        <v>7.1635</v>
      </c>
      <c r="I147" s="9">
        <v>2843.2441</v>
      </c>
      <c r="J147" s="9">
        <v>17.5972</v>
      </c>
      <c r="K147" s="9">
        <v>6984.4184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9">
        <v>0</v>
      </c>
      <c r="AE147" s="9">
        <v>0</v>
      </c>
      <c r="AF147" s="9">
        <v>0</v>
      </c>
      <c r="AG147" s="9">
        <v>0</v>
      </c>
      <c r="AH147" s="9">
        <v>0</v>
      </c>
      <c r="AI147" s="9">
        <v>0</v>
      </c>
      <c r="AJ147" s="9">
        <v>0</v>
      </c>
      <c r="AK147" s="9">
        <v>0</v>
      </c>
      <c r="AL147" s="9">
        <v>0</v>
      </c>
      <c r="AM147" s="9">
        <v>0</v>
      </c>
      <c r="AN147" s="9">
        <v>0</v>
      </c>
      <c r="AO147" s="9">
        <v>0</v>
      </c>
      <c r="AP147" s="9">
        <v>0</v>
      </c>
      <c r="AQ147" s="9">
        <v>0</v>
      </c>
      <c r="AR147" s="9">
        <v>0</v>
      </c>
      <c r="AS147" s="9">
        <v>0</v>
      </c>
      <c r="AT147" s="9">
        <v>2.4364</v>
      </c>
      <c r="AU147" s="9">
        <v>967.0345</v>
      </c>
      <c r="AV147" s="9">
        <v>0</v>
      </c>
      <c r="AW147" s="9">
        <v>0</v>
      </c>
      <c r="AX147" s="9">
        <v>0</v>
      </c>
      <c r="AY147" s="9">
        <v>0</v>
      </c>
      <c r="AZ147" s="14">
        <f t="shared" si="5"/>
        <v>10794.697</v>
      </c>
    </row>
    <row r="148" spans="1:52">
      <c r="A148" s="9" t="s">
        <v>33</v>
      </c>
      <c r="B148" s="9" t="s">
        <v>101</v>
      </c>
      <c r="C148" s="9" t="s">
        <v>182</v>
      </c>
      <c r="D148" s="9">
        <v>0</v>
      </c>
      <c r="E148" s="9">
        <v>0</v>
      </c>
      <c r="F148" s="9">
        <v>0</v>
      </c>
      <c r="G148" s="9">
        <v>0</v>
      </c>
      <c r="H148" s="9">
        <v>14.8456</v>
      </c>
      <c r="I148" s="9">
        <v>5892.3077</v>
      </c>
      <c r="J148" s="9">
        <v>22.2684</v>
      </c>
      <c r="K148" s="9">
        <v>8838.4616</v>
      </c>
      <c r="L148" s="9">
        <v>0</v>
      </c>
      <c r="M148" s="9">
        <v>0</v>
      </c>
      <c r="N148" s="9">
        <v>0</v>
      </c>
      <c r="O148" s="9">
        <v>0</v>
      </c>
      <c r="P148" s="9">
        <v>0.0445</v>
      </c>
      <c r="Q148" s="9">
        <v>17.6769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9">
        <v>0</v>
      </c>
      <c r="AE148" s="9">
        <v>0</v>
      </c>
      <c r="AF148" s="9">
        <v>0</v>
      </c>
      <c r="AG148" s="9">
        <v>0</v>
      </c>
      <c r="AH148" s="9">
        <v>0</v>
      </c>
      <c r="AI148" s="9">
        <v>0</v>
      </c>
      <c r="AJ148" s="9">
        <v>0</v>
      </c>
      <c r="AK148" s="9">
        <v>0</v>
      </c>
      <c r="AL148" s="9">
        <v>0</v>
      </c>
      <c r="AM148" s="9">
        <v>0</v>
      </c>
      <c r="AN148" s="9">
        <v>0</v>
      </c>
      <c r="AO148" s="9">
        <v>0</v>
      </c>
      <c r="AP148" s="9">
        <v>0</v>
      </c>
      <c r="AQ148" s="9">
        <v>0</v>
      </c>
      <c r="AR148" s="9">
        <v>0</v>
      </c>
      <c r="AS148" s="9">
        <v>0</v>
      </c>
      <c r="AT148" s="9">
        <v>7.799</v>
      </c>
      <c r="AU148" s="9">
        <v>3095.4699</v>
      </c>
      <c r="AV148" s="9">
        <v>0</v>
      </c>
      <c r="AW148" s="9">
        <v>0</v>
      </c>
      <c r="AX148" s="9">
        <v>0</v>
      </c>
      <c r="AY148" s="9">
        <v>0</v>
      </c>
      <c r="AZ148" s="14">
        <f t="shared" si="5"/>
        <v>17843.9161</v>
      </c>
    </row>
    <row r="149" spans="1:52">
      <c r="A149" s="9" t="s">
        <v>33</v>
      </c>
      <c r="B149" s="9" t="s">
        <v>101</v>
      </c>
      <c r="C149" s="9" t="s">
        <v>183</v>
      </c>
      <c r="D149" s="9">
        <v>0</v>
      </c>
      <c r="E149" s="9">
        <v>0</v>
      </c>
      <c r="F149" s="9">
        <v>0</v>
      </c>
      <c r="G149" s="9">
        <v>0</v>
      </c>
      <c r="H149" s="9">
        <v>38.8386</v>
      </c>
      <c r="I149" s="9">
        <v>15415.2734</v>
      </c>
      <c r="J149" s="9">
        <v>30.9116</v>
      </c>
      <c r="K149" s="9">
        <v>12268.9916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9">
        <v>0</v>
      </c>
      <c r="AE149" s="9">
        <v>0</v>
      </c>
      <c r="AF149" s="9">
        <v>0</v>
      </c>
      <c r="AG149" s="9">
        <v>0</v>
      </c>
      <c r="AH149" s="9">
        <v>0</v>
      </c>
      <c r="AI149" s="9">
        <v>0</v>
      </c>
      <c r="AJ149" s="9">
        <v>0</v>
      </c>
      <c r="AK149" s="9">
        <v>0</v>
      </c>
      <c r="AL149" s="9">
        <v>0</v>
      </c>
      <c r="AM149" s="9">
        <v>0</v>
      </c>
      <c r="AN149" s="9">
        <v>0</v>
      </c>
      <c r="AO149" s="9">
        <v>0</v>
      </c>
      <c r="AP149" s="9">
        <v>0</v>
      </c>
      <c r="AQ149" s="9">
        <v>0</v>
      </c>
      <c r="AR149" s="9">
        <v>0</v>
      </c>
      <c r="AS149" s="9">
        <v>0</v>
      </c>
      <c r="AT149" s="9">
        <v>205.9321</v>
      </c>
      <c r="AU149" s="9">
        <v>81735.6845</v>
      </c>
      <c r="AV149" s="9">
        <v>0</v>
      </c>
      <c r="AW149" s="9">
        <v>0</v>
      </c>
      <c r="AX149" s="9">
        <v>0</v>
      </c>
      <c r="AY149" s="9">
        <v>0</v>
      </c>
      <c r="AZ149" s="14">
        <f t="shared" si="5"/>
        <v>109419.9495</v>
      </c>
    </row>
    <row r="150" spans="1:52">
      <c r="A150" s="9" t="s">
        <v>33</v>
      </c>
      <c r="B150" s="9" t="s">
        <v>101</v>
      </c>
      <c r="C150" s="9" t="s">
        <v>184</v>
      </c>
      <c r="D150" s="9">
        <v>0</v>
      </c>
      <c r="E150" s="9">
        <v>0</v>
      </c>
      <c r="F150" s="9">
        <v>0</v>
      </c>
      <c r="G150" s="9">
        <v>0</v>
      </c>
      <c r="H150" s="9">
        <v>9.4151</v>
      </c>
      <c r="I150" s="9">
        <v>3736.9256</v>
      </c>
      <c r="J150" s="9">
        <v>4.7725</v>
      </c>
      <c r="K150" s="9">
        <v>1894.2418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9">
        <v>0</v>
      </c>
      <c r="AE150" s="9">
        <v>0</v>
      </c>
      <c r="AF150" s="9">
        <v>0</v>
      </c>
      <c r="AG150" s="9">
        <v>0</v>
      </c>
      <c r="AH150" s="9">
        <v>0</v>
      </c>
      <c r="AI150" s="9">
        <v>0</v>
      </c>
      <c r="AJ150" s="9">
        <v>0</v>
      </c>
      <c r="AK150" s="9">
        <v>0</v>
      </c>
      <c r="AL150" s="9">
        <v>0</v>
      </c>
      <c r="AM150" s="9">
        <v>0</v>
      </c>
      <c r="AN150" s="9">
        <v>0</v>
      </c>
      <c r="AO150" s="9">
        <v>0</v>
      </c>
      <c r="AP150" s="9">
        <v>0</v>
      </c>
      <c r="AQ150" s="9">
        <v>0</v>
      </c>
      <c r="AR150" s="9">
        <v>0</v>
      </c>
      <c r="AS150" s="9">
        <v>0</v>
      </c>
      <c r="AT150" s="9">
        <v>14.232</v>
      </c>
      <c r="AU150" s="9">
        <v>5648.7662</v>
      </c>
      <c r="AV150" s="9">
        <v>0</v>
      </c>
      <c r="AW150" s="9">
        <v>0</v>
      </c>
      <c r="AX150" s="9">
        <v>0</v>
      </c>
      <c r="AY150" s="9">
        <v>0</v>
      </c>
      <c r="AZ150" s="14">
        <f t="shared" si="5"/>
        <v>11279.9336</v>
      </c>
    </row>
    <row r="151" spans="1:52">
      <c r="A151" s="9" t="s">
        <v>33</v>
      </c>
      <c r="B151" s="9" t="s">
        <v>101</v>
      </c>
      <c r="C151" s="9" t="s">
        <v>185</v>
      </c>
      <c r="D151" s="9">
        <v>0</v>
      </c>
      <c r="E151" s="9">
        <v>0</v>
      </c>
      <c r="F151" s="9">
        <v>0</v>
      </c>
      <c r="G151" s="9">
        <v>0</v>
      </c>
      <c r="H151" s="9">
        <v>23.6559</v>
      </c>
      <c r="I151" s="9">
        <v>9389.1567</v>
      </c>
      <c r="J151" s="9">
        <v>61.2675</v>
      </c>
      <c r="K151" s="9">
        <v>24317.4384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9">
        <v>0</v>
      </c>
      <c r="AE151" s="9">
        <v>0</v>
      </c>
      <c r="AF151" s="9">
        <v>0</v>
      </c>
      <c r="AG151" s="9">
        <v>0</v>
      </c>
      <c r="AH151" s="9">
        <v>0</v>
      </c>
      <c r="AI151" s="9">
        <v>0</v>
      </c>
      <c r="AJ151" s="9">
        <v>0</v>
      </c>
      <c r="AK151" s="9">
        <v>0</v>
      </c>
      <c r="AL151" s="9">
        <v>0</v>
      </c>
      <c r="AM151" s="9">
        <v>0</v>
      </c>
      <c r="AN151" s="9">
        <v>0</v>
      </c>
      <c r="AO151" s="9">
        <v>0</v>
      </c>
      <c r="AP151" s="9">
        <v>0</v>
      </c>
      <c r="AQ151" s="9">
        <v>0</v>
      </c>
      <c r="AR151" s="9">
        <v>0</v>
      </c>
      <c r="AS151" s="9">
        <v>0</v>
      </c>
      <c r="AT151" s="9">
        <v>14.0775</v>
      </c>
      <c r="AU151" s="9">
        <v>5587.4442</v>
      </c>
      <c r="AV151" s="9">
        <v>0</v>
      </c>
      <c r="AW151" s="9">
        <v>0</v>
      </c>
      <c r="AX151" s="9">
        <v>0</v>
      </c>
      <c r="AY151" s="9">
        <v>0</v>
      </c>
      <c r="AZ151" s="14">
        <f t="shared" si="5"/>
        <v>39294.0393</v>
      </c>
    </row>
    <row r="152" spans="1:52">
      <c r="A152" s="9" t="s">
        <v>33</v>
      </c>
      <c r="B152" s="9" t="s">
        <v>101</v>
      </c>
      <c r="C152" s="9" t="s">
        <v>186</v>
      </c>
      <c r="D152" s="9">
        <v>0</v>
      </c>
      <c r="E152" s="9">
        <v>0</v>
      </c>
      <c r="F152" s="9">
        <v>0</v>
      </c>
      <c r="G152" s="9">
        <v>0</v>
      </c>
      <c r="H152" s="9">
        <v>7.2288</v>
      </c>
      <c r="I152" s="9">
        <v>2869.17</v>
      </c>
      <c r="J152" s="9">
        <v>81.6018</v>
      </c>
      <c r="K152" s="9">
        <v>32388.2559</v>
      </c>
      <c r="L152" s="9">
        <v>0</v>
      </c>
      <c r="M152" s="9">
        <v>0</v>
      </c>
      <c r="N152" s="9">
        <v>0</v>
      </c>
      <c r="O152" s="9">
        <v>0</v>
      </c>
      <c r="P152" s="9">
        <v>0</v>
      </c>
      <c r="Q152" s="9">
        <v>0</v>
      </c>
      <c r="R152" s="9">
        <v>0</v>
      </c>
      <c r="S152" s="9">
        <v>0</v>
      </c>
      <c r="T152" s="9">
        <v>0</v>
      </c>
      <c r="U152" s="9">
        <v>0</v>
      </c>
      <c r="V152" s="9">
        <v>109.371</v>
      </c>
      <c r="W152" s="9">
        <v>43410.0061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9">
        <v>0</v>
      </c>
      <c r="AE152" s="9">
        <v>0</v>
      </c>
      <c r="AF152" s="9">
        <v>0</v>
      </c>
      <c r="AG152" s="9">
        <v>0</v>
      </c>
      <c r="AH152" s="9">
        <v>0</v>
      </c>
      <c r="AI152" s="9">
        <v>0</v>
      </c>
      <c r="AJ152" s="9">
        <v>0</v>
      </c>
      <c r="AK152" s="9">
        <v>0</v>
      </c>
      <c r="AL152" s="9">
        <v>0</v>
      </c>
      <c r="AM152" s="9">
        <v>0</v>
      </c>
      <c r="AN152" s="9">
        <v>0</v>
      </c>
      <c r="AO152" s="9">
        <v>0</v>
      </c>
      <c r="AP152" s="9">
        <v>0</v>
      </c>
      <c r="AQ152" s="9">
        <v>0</v>
      </c>
      <c r="AR152" s="9">
        <v>0</v>
      </c>
      <c r="AS152" s="9">
        <v>0</v>
      </c>
      <c r="AT152" s="9">
        <v>2.3498</v>
      </c>
      <c r="AU152" s="9">
        <v>932.6299</v>
      </c>
      <c r="AV152" s="9">
        <v>0</v>
      </c>
      <c r="AW152" s="9">
        <v>0</v>
      </c>
      <c r="AX152" s="9">
        <v>0</v>
      </c>
      <c r="AY152" s="9">
        <v>0</v>
      </c>
      <c r="AZ152" s="14">
        <f t="shared" si="5"/>
        <v>79600.0619</v>
      </c>
    </row>
    <row r="153" spans="1:52">
      <c r="A153" s="9" t="s">
        <v>33</v>
      </c>
      <c r="B153" s="9" t="s">
        <v>187</v>
      </c>
      <c r="C153" s="9" t="s">
        <v>188</v>
      </c>
      <c r="D153" s="9">
        <v>0</v>
      </c>
      <c r="E153" s="9">
        <v>0</v>
      </c>
      <c r="F153" s="9">
        <v>0</v>
      </c>
      <c r="G153" s="9">
        <v>0</v>
      </c>
      <c r="H153" s="9">
        <v>40.9109</v>
      </c>
      <c r="I153" s="9">
        <v>16237.7658</v>
      </c>
      <c r="J153" s="9">
        <v>61.3663</v>
      </c>
      <c r="K153" s="9">
        <v>24356.6487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9">
        <v>0</v>
      </c>
      <c r="AE153" s="9">
        <v>0</v>
      </c>
      <c r="AF153" s="9">
        <v>0</v>
      </c>
      <c r="AG153" s="9">
        <v>0</v>
      </c>
      <c r="AH153" s="9">
        <v>0</v>
      </c>
      <c r="AI153" s="9">
        <v>0</v>
      </c>
      <c r="AJ153" s="9">
        <v>0</v>
      </c>
      <c r="AK153" s="9">
        <v>0</v>
      </c>
      <c r="AL153" s="9">
        <v>0</v>
      </c>
      <c r="AM153" s="9">
        <v>0</v>
      </c>
      <c r="AN153" s="9">
        <v>0</v>
      </c>
      <c r="AO153" s="9">
        <v>0</v>
      </c>
      <c r="AP153" s="9">
        <v>0</v>
      </c>
      <c r="AQ153" s="9">
        <v>0</v>
      </c>
      <c r="AR153" s="9">
        <v>0</v>
      </c>
      <c r="AS153" s="9">
        <v>0</v>
      </c>
      <c r="AT153" s="9">
        <v>21.7175</v>
      </c>
      <c r="AU153" s="9">
        <v>8619.8061</v>
      </c>
      <c r="AV153" s="9">
        <v>0</v>
      </c>
      <c r="AW153" s="9">
        <v>0</v>
      </c>
      <c r="AX153" s="9">
        <v>0</v>
      </c>
      <c r="AY153" s="9">
        <v>0</v>
      </c>
      <c r="AZ153" s="14">
        <f t="shared" si="5"/>
        <v>49214.2206</v>
      </c>
    </row>
    <row r="154" spans="1:52">
      <c r="A154" s="9" t="s">
        <v>33</v>
      </c>
      <c r="B154" s="9" t="s">
        <v>187</v>
      </c>
      <c r="C154" s="9" t="s">
        <v>189</v>
      </c>
      <c r="D154" s="9">
        <v>0</v>
      </c>
      <c r="E154" s="9">
        <v>0</v>
      </c>
      <c r="F154" s="9">
        <v>0</v>
      </c>
      <c r="G154" s="9">
        <v>0</v>
      </c>
      <c r="H154" s="9">
        <v>119.0766</v>
      </c>
      <c r="I154" s="9">
        <v>47262.219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9">
        <v>0</v>
      </c>
      <c r="AE154" s="9">
        <v>0</v>
      </c>
      <c r="AF154" s="9">
        <v>0</v>
      </c>
      <c r="AG154" s="9">
        <v>0</v>
      </c>
      <c r="AH154" s="9">
        <v>0</v>
      </c>
      <c r="AI154" s="9">
        <v>0</v>
      </c>
      <c r="AJ154" s="9">
        <v>0</v>
      </c>
      <c r="AK154" s="9">
        <v>0</v>
      </c>
      <c r="AL154" s="9">
        <v>0</v>
      </c>
      <c r="AM154" s="9">
        <v>0</v>
      </c>
      <c r="AN154" s="9">
        <v>0</v>
      </c>
      <c r="AO154" s="9">
        <v>0</v>
      </c>
      <c r="AP154" s="9">
        <v>0</v>
      </c>
      <c r="AQ154" s="9">
        <v>0</v>
      </c>
      <c r="AR154" s="9">
        <v>0</v>
      </c>
      <c r="AS154" s="9">
        <v>0</v>
      </c>
      <c r="AT154" s="9">
        <v>138.897</v>
      </c>
      <c r="AU154" s="9">
        <v>55129.0527</v>
      </c>
      <c r="AV154" s="9">
        <v>0</v>
      </c>
      <c r="AW154" s="9">
        <v>0</v>
      </c>
      <c r="AX154" s="9">
        <v>0</v>
      </c>
      <c r="AY154" s="9">
        <v>0</v>
      </c>
      <c r="AZ154" s="14">
        <f t="shared" si="5"/>
        <v>102391.2717</v>
      </c>
    </row>
    <row r="155" spans="1:52">
      <c r="A155" s="9" t="s">
        <v>33</v>
      </c>
      <c r="B155" s="9" t="s">
        <v>187</v>
      </c>
      <c r="C155" s="9" t="s">
        <v>190</v>
      </c>
      <c r="D155" s="9">
        <v>0</v>
      </c>
      <c r="E155" s="9">
        <v>0</v>
      </c>
      <c r="F155" s="9">
        <v>0</v>
      </c>
      <c r="G155" s="9">
        <v>0</v>
      </c>
      <c r="H155" s="9">
        <v>33.763</v>
      </c>
      <c r="I155" s="9">
        <v>13400.7214</v>
      </c>
      <c r="J155" s="9">
        <v>50.6444</v>
      </c>
      <c r="K155" s="9">
        <v>20101.0821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9">
        <v>0</v>
      </c>
      <c r="AE155" s="9">
        <v>0</v>
      </c>
      <c r="AF155" s="9">
        <v>0</v>
      </c>
      <c r="AG155" s="9">
        <v>0</v>
      </c>
      <c r="AH155" s="9">
        <v>0</v>
      </c>
      <c r="AI155" s="9">
        <v>0</v>
      </c>
      <c r="AJ155" s="9">
        <v>0</v>
      </c>
      <c r="AK155" s="9">
        <v>0</v>
      </c>
      <c r="AL155" s="9">
        <v>0</v>
      </c>
      <c r="AM155" s="9">
        <v>0</v>
      </c>
      <c r="AN155" s="9">
        <v>0</v>
      </c>
      <c r="AO155" s="9">
        <v>0</v>
      </c>
      <c r="AP155" s="9">
        <v>0</v>
      </c>
      <c r="AQ155" s="9">
        <v>0</v>
      </c>
      <c r="AR155" s="9">
        <v>0</v>
      </c>
      <c r="AS155" s="9">
        <v>0</v>
      </c>
      <c r="AT155" s="9">
        <v>147.4003</v>
      </c>
      <c r="AU155" s="9">
        <v>58504.0458</v>
      </c>
      <c r="AV155" s="9">
        <v>0</v>
      </c>
      <c r="AW155" s="9">
        <v>0</v>
      </c>
      <c r="AX155" s="9">
        <v>0</v>
      </c>
      <c r="AY155" s="9">
        <v>0</v>
      </c>
      <c r="AZ155" s="14">
        <f t="shared" si="5"/>
        <v>92005.8493</v>
      </c>
    </row>
    <row r="156" spans="1:52">
      <c r="A156" s="9" t="s">
        <v>33</v>
      </c>
      <c r="B156" s="9" t="s">
        <v>187</v>
      </c>
      <c r="C156" s="9" t="s">
        <v>191</v>
      </c>
      <c r="D156" s="9">
        <v>0</v>
      </c>
      <c r="E156" s="9">
        <v>0</v>
      </c>
      <c r="F156" s="9">
        <v>0</v>
      </c>
      <c r="G156" s="9">
        <v>0</v>
      </c>
      <c r="H156" s="9">
        <v>15.057</v>
      </c>
      <c r="I156" s="9">
        <v>5976.2136</v>
      </c>
      <c r="J156" s="9">
        <v>22.5855</v>
      </c>
      <c r="K156" s="9">
        <v>8964.3205</v>
      </c>
      <c r="L156" s="9">
        <v>0</v>
      </c>
      <c r="M156" s="9">
        <v>66000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9">
        <v>0</v>
      </c>
      <c r="AE156" s="9">
        <v>0</v>
      </c>
      <c r="AF156" s="9">
        <v>0</v>
      </c>
      <c r="AG156" s="9">
        <v>0</v>
      </c>
      <c r="AH156" s="9">
        <v>0</v>
      </c>
      <c r="AI156" s="9">
        <v>0</v>
      </c>
      <c r="AJ156" s="9">
        <v>0</v>
      </c>
      <c r="AK156" s="9">
        <v>0</v>
      </c>
      <c r="AL156" s="9">
        <v>0</v>
      </c>
      <c r="AM156" s="9">
        <v>0</v>
      </c>
      <c r="AN156" s="9">
        <v>0</v>
      </c>
      <c r="AO156" s="9">
        <v>0</v>
      </c>
      <c r="AP156" s="9">
        <v>0</v>
      </c>
      <c r="AQ156" s="9">
        <v>0</v>
      </c>
      <c r="AR156" s="9">
        <v>0</v>
      </c>
      <c r="AS156" s="9">
        <v>0</v>
      </c>
      <c r="AT156" s="9">
        <v>20.7286</v>
      </c>
      <c r="AU156" s="9">
        <v>8227.3136</v>
      </c>
      <c r="AV156" s="9">
        <v>0</v>
      </c>
      <c r="AW156" s="9">
        <v>0</v>
      </c>
      <c r="AX156" s="9">
        <v>0</v>
      </c>
      <c r="AY156" s="9">
        <v>0</v>
      </c>
      <c r="AZ156" s="14">
        <f t="shared" si="5"/>
        <v>89167.8477</v>
      </c>
    </row>
    <row r="157" spans="1:52">
      <c r="A157" s="9" t="s">
        <v>33</v>
      </c>
      <c r="B157" s="9" t="s">
        <v>187</v>
      </c>
      <c r="C157" s="9" t="s">
        <v>192</v>
      </c>
      <c r="D157" s="9">
        <v>0</v>
      </c>
      <c r="E157" s="9">
        <v>0</v>
      </c>
      <c r="F157" s="9">
        <v>0</v>
      </c>
      <c r="G157" s="9">
        <v>0</v>
      </c>
      <c r="H157" s="9">
        <v>31.4727</v>
      </c>
      <c r="I157" s="9">
        <v>12491.7209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9">
        <v>0</v>
      </c>
      <c r="AE157" s="9">
        <v>0</v>
      </c>
      <c r="AF157" s="9">
        <v>0</v>
      </c>
      <c r="AG157" s="9">
        <v>0</v>
      </c>
      <c r="AH157" s="9">
        <v>0</v>
      </c>
      <c r="AI157" s="9">
        <v>0</v>
      </c>
      <c r="AJ157" s="9">
        <v>0</v>
      </c>
      <c r="AK157" s="9">
        <v>0</v>
      </c>
      <c r="AL157" s="9">
        <v>0</v>
      </c>
      <c r="AM157" s="9">
        <v>0</v>
      </c>
      <c r="AN157" s="9">
        <v>0</v>
      </c>
      <c r="AO157" s="9">
        <v>0</v>
      </c>
      <c r="AP157" s="9">
        <v>0</v>
      </c>
      <c r="AQ157" s="9">
        <v>0</v>
      </c>
      <c r="AR157" s="9">
        <v>0</v>
      </c>
      <c r="AS157" s="9">
        <v>0</v>
      </c>
      <c r="AT157" s="9">
        <v>266.274</v>
      </c>
      <c r="AU157" s="9">
        <v>105685.7482</v>
      </c>
      <c r="AV157" s="9">
        <v>0</v>
      </c>
      <c r="AW157" s="9">
        <v>0</v>
      </c>
      <c r="AX157" s="9">
        <v>0</v>
      </c>
      <c r="AY157" s="9">
        <v>0</v>
      </c>
      <c r="AZ157" s="14">
        <f t="shared" si="5"/>
        <v>118177.4691</v>
      </c>
    </row>
    <row r="158" spans="1:52">
      <c r="A158" s="9" t="s">
        <v>33</v>
      </c>
      <c r="B158" s="9" t="s">
        <v>187</v>
      </c>
      <c r="C158" s="9" t="s">
        <v>193</v>
      </c>
      <c r="D158" s="9">
        <v>0</v>
      </c>
      <c r="E158" s="9">
        <v>0</v>
      </c>
      <c r="F158" s="9">
        <v>0</v>
      </c>
      <c r="G158" s="9">
        <v>0</v>
      </c>
      <c r="H158" s="9">
        <v>65.571</v>
      </c>
      <c r="I158" s="9">
        <v>26025.5233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  <c r="O158" s="9">
        <v>0</v>
      </c>
      <c r="P158" s="9">
        <v>5.8855</v>
      </c>
      <c r="Q158" s="9">
        <v>2335.9814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9">
        <v>0</v>
      </c>
      <c r="AE158" s="9">
        <v>0</v>
      </c>
      <c r="AF158" s="9">
        <v>0</v>
      </c>
      <c r="AG158" s="9">
        <v>0</v>
      </c>
      <c r="AH158" s="9">
        <v>0</v>
      </c>
      <c r="AI158" s="9">
        <v>0</v>
      </c>
      <c r="AJ158" s="9">
        <v>0</v>
      </c>
      <c r="AK158" s="9">
        <v>0</v>
      </c>
      <c r="AL158" s="9">
        <v>0</v>
      </c>
      <c r="AM158" s="9">
        <v>0</v>
      </c>
      <c r="AN158" s="9">
        <v>0</v>
      </c>
      <c r="AO158" s="9">
        <v>0</v>
      </c>
      <c r="AP158" s="9">
        <v>0</v>
      </c>
      <c r="AQ158" s="9">
        <v>0</v>
      </c>
      <c r="AR158" s="9">
        <v>0</v>
      </c>
      <c r="AS158" s="9">
        <v>0</v>
      </c>
      <c r="AT158" s="9">
        <v>96.6517</v>
      </c>
      <c r="AU158" s="9">
        <v>38361.6555</v>
      </c>
      <c r="AV158" s="9">
        <v>0</v>
      </c>
      <c r="AW158" s="9">
        <v>0</v>
      </c>
      <c r="AX158" s="9">
        <v>0</v>
      </c>
      <c r="AY158" s="9">
        <v>0</v>
      </c>
      <c r="AZ158" s="14">
        <f t="shared" si="5"/>
        <v>66723.1602</v>
      </c>
    </row>
    <row r="159" spans="1:52">
      <c r="A159" s="9" t="s">
        <v>33</v>
      </c>
      <c r="B159" s="9" t="s">
        <v>187</v>
      </c>
      <c r="C159" s="9" t="s">
        <v>194</v>
      </c>
      <c r="D159" s="9">
        <v>0</v>
      </c>
      <c r="E159" s="9">
        <v>0</v>
      </c>
      <c r="F159" s="9">
        <v>0</v>
      </c>
      <c r="G159" s="9">
        <v>0</v>
      </c>
      <c r="H159" s="9">
        <v>75.0885</v>
      </c>
      <c r="I159" s="9">
        <v>29803.0881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0.3684</v>
      </c>
      <c r="Q159" s="9">
        <v>146.2358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9">
        <v>0</v>
      </c>
      <c r="AE159" s="9">
        <v>0</v>
      </c>
      <c r="AF159" s="9">
        <v>0</v>
      </c>
      <c r="AG159" s="9">
        <v>0</v>
      </c>
      <c r="AH159" s="9">
        <v>0</v>
      </c>
      <c r="AI159" s="9">
        <v>0</v>
      </c>
      <c r="AJ159" s="9">
        <v>0</v>
      </c>
      <c r="AK159" s="9">
        <v>0</v>
      </c>
      <c r="AL159" s="9">
        <v>0</v>
      </c>
      <c r="AM159" s="9">
        <v>0</v>
      </c>
      <c r="AN159" s="9">
        <v>0</v>
      </c>
      <c r="AO159" s="9">
        <v>0</v>
      </c>
      <c r="AP159" s="9">
        <v>0</v>
      </c>
      <c r="AQ159" s="9">
        <v>0</v>
      </c>
      <c r="AR159" s="9">
        <v>0</v>
      </c>
      <c r="AS159" s="9">
        <v>0</v>
      </c>
      <c r="AT159" s="9">
        <v>236.598</v>
      </c>
      <c r="AU159" s="9">
        <v>93907.1658</v>
      </c>
      <c r="AV159" s="9">
        <v>0</v>
      </c>
      <c r="AW159" s="9">
        <v>0</v>
      </c>
      <c r="AX159" s="9">
        <v>0</v>
      </c>
      <c r="AY159" s="9">
        <v>0</v>
      </c>
      <c r="AZ159" s="14">
        <f t="shared" si="5"/>
        <v>123856.4897</v>
      </c>
    </row>
    <row r="160" spans="1:52">
      <c r="A160" s="9" t="s">
        <v>33</v>
      </c>
      <c r="B160" s="9" t="s">
        <v>187</v>
      </c>
      <c r="C160" s="9" t="s">
        <v>195</v>
      </c>
      <c r="D160" s="9">
        <v>0</v>
      </c>
      <c r="E160" s="9">
        <v>0</v>
      </c>
      <c r="F160" s="9">
        <v>0</v>
      </c>
      <c r="G160" s="9">
        <v>0</v>
      </c>
      <c r="H160" s="9">
        <v>56.2964</v>
      </c>
      <c r="I160" s="9">
        <v>22344.3789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  <c r="P160" s="9">
        <v>3.0792</v>
      </c>
      <c r="Q160" s="9">
        <v>1222.1616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9">
        <v>0</v>
      </c>
      <c r="AE160" s="9">
        <v>0</v>
      </c>
      <c r="AF160" s="9">
        <v>0</v>
      </c>
      <c r="AG160" s="9">
        <v>0</v>
      </c>
      <c r="AH160" s="9">
        <v>0</v>
      </c>
      <c r="AI160" s="9">
        <v>0</v>
      </c>
      <c r="AJ160" s="9">
        <v>0</v>
      </c>
      <c r="AK160" s="9">
        <v>0</v>
      </c>
      <c r="AL160" s="9">
        <v>0</v>
      </c>
      <c r="AM160" s="9">
        <v>0</v>
      </c>
      <c r="AN160" s="9">
        <v>0</v>
      </c>
      <c r="AO160" s="9">
        <v>0</v>
      </c>
      <c r="AP160" s="9">
        <v>0</v>
      </c>
      <c r="AQ160" s="9">
        <v>0</v>
      </c>
      <c r="AR160" s="9">
        <v>0</v>
      </c>
      <c r="AS160" s="9">
        <v>0</v>
      </c>
      <c r="AT160" s="9">
        <v>128.487</v>
      </c>
      <c r="AU160" s="9">
        <v>50997.2612</v>
      </c>
      <c r="AV160" s="9">
        <v>0</v>
      </c>
      <c r="AW160" s="9">
        <v>0</v>
      </c>
      <c r="AX160" s="9">
        <v>0</v>
      </c>
      <c r="AY160" s="9">
        <v>0</v>
      </c>
      <c r="AZ160" s="14">
        <f t="shared" si="5"/>
        <v>74563.8017</v>
      </c>
    </row>
    <row r="161" spans="1:52">
      <c r="A161" s="9" t="s">
        <v>33</v>
      </c>
      <c r="B161" s="9" t="s">
        <v>187</v>
      </c>
      <c r="C161" s="9" t="s">
        <v>196</v>
      </c>
      <c r="D161" s="9">
        <v>0</v>
      </c>
      <c r="E161" s="9">
        <v>0</v>
      </c>
      <c r="F161" s="9">
        <v>0</v>
      </c>
      <c r="G161" s="9">
        <v>0</v>
      </c>
      <c r="H161" s="9">
        <v>9.5588</v>
      </c>
      <c r="I161" s="9">
        <v>3793.9451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115.5792</v>
      </c>
      <c r="W161" s="9">
        <v>45874.078</v>
      </c>
      <c r="X161" s="9">
        <v>0</v>
      </c>
      <c r="Y161" s="9">
        <v>0</v>
      </c>
      <c r="Z161" s="9">
        <v>0</v>
      </c>
      <c r="AA161" s="9">
        <v>0</v>
      </c>
      <c r="AB161" s="9">
        <v>0</v>
      </c>
      <c r="AC161" s="9">
        <v>0</v>
      </c>
      <c r="AD161" s="9">
        <v>0</v>
      </c>
      <c r="AE161" s="9">
        <v>0</v>
      </c>
      <c r="AF161" s="9">
        <v>0</v>
      </c>
      <c r="AG161" s="9">
        <v>0</v>
      </c>
      <c r="AH161" s="9">
        <v>0</v>
      </c>
      <c r="AI161" s="9">
        <v>0</v>
      </c>
      <c r="AJ161" s="9">
        <v>0</v>
      </c>
      <c r="AK161" s="9">
        <v>0</v>
      </c>
      <c r="AL161" s="9">
        <v>0</v>
      </c>
      <c r="AM161" s="9">
        <v>0</v>
      </c>
      <c r="AN161" s="9">
        <v>0</v>
      </c>
      <c r="AO161" s="9">
        <v>0</v>
      </c>
      <c r="AP161" s="9">
        <v>0</v>
      </c>
      <c r="AQ161" s="9">
        <v>0</v>
      </c>
      <c r="AR161" s="9">
        <v>0</v>
      </c>
      <c r="AS161" s="9">
        <v>0</v>
      </c>
      <c r="AT161" s="9">
        <v>29.7792</v>
      </c>
      <c r="AU161" s="9">
        <v>11819.5432</v>
      </c>
      <c r="AV161" s="9">
        <v>0</v>
      </c>
      <c r="AW161" s="9">
        <v>0</v>
      </c>
      <c r="AX161" s="9">
        <v>0</v>
      </c>
      <c r="AY161" s="9">
        <v>0</v>
      </c>
      <c r="AZ161" s="14">
        <f t="shared" si="5"/>
        <v>61487.5663</v>
      </c>
    </row>
    <row r="162" spans="1:52">
      <c r="A162" s="9" t="s">
        <v>33</v>
      </c>
      <c r="B162" s="9" t="s">
        <v>187</v>
      </c>
      <c r="C162" s="9" t="s">
        <v>197</v>
      </c>
      <c r="D162" s="9">
        <v>0</v>
      </c>
      <c r="E162" s="9">
        <v>0</v>
      </c>
      <c r="F162" s="9">
        <v>0</v>
      </c>
      <c r="G162" s="9">
        <v>0</v>
      </c>
      <c r="H162" s="9">
        <v>149.4303</v>
      </c>
      <c r="I162" s="9">
        <v>59309.7656</v>
      </c>
      <c r="J162" s="9">
        <v>0</v>
      </c>
      <c r="K162" s="9">
        <v>0</v>
      </c>
      <c r="L162" s="9">
        <v>0</v>
      </c>
      <c r="M162" s="9">
        <v>0</v>
      </c>
      <c r="N162" s="9">
        <v>0</v>
      </c>
      <c r="O162" s="9">
        <v>0</v>
      </c>
      <c r="P162" s="9">
        <v>0.1492</v>
      </c>
      <c r="Q162" s="9">
        <v>59.2109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9">
        <v>0</v>
      </c>
      <c r="AE162" s="9">
        <v>0</v>
      </c>
      <c r="AF162" s="9">
        <v>0</v>
      </c>
      <c r="AG162" s="9">
        <v>0</v>
      </c>
      <c r="AH162" s="9">
        <v>0</v>
      </c>
      <c r="AI162" s="9">
        <v>0</v>
      </c>
      <c r="AJ162" s="9">
        <v>0</v>
      </c>
      <c r="AK162" s="9">
        <v>0</v>
      </c>
      <c r="AL162" s="9">
        <v>0</v>
      </c>
      <c r="AM162" s="9">
        <v>0</v>
      </c>
      <c r="AN162" s="9">
        <v>0</v>
      </c>
      <c r="AO162" s="9">
        <v>0</v>
      </c>
      <c r="AP162" s="9">
        <v>0</v>
      </c>
      <c r="AQ162" s="9">
        <v>0</v>
      </c>
      <c r="AR162" s="9">
        <v>0</v>
      </c>
      <c r="AS162" s="9">
        <v>0</v>
      </c>
      <c r="AT162" s="9">
        <v>257.3501</v>
      </c>
      <c r="AU162" s="9">
        <v>102143.7972</v>
      </c>
      <c r="AV162" s="9">
        <v>0</v>
      </c>
      <c r="AW162" s="9">
        <v>0</v>
      </c>
      <c r="AX162" s="9">
        <v>0</v>
      </c>
      <c r="AY162" s="9">
        <v>0</v>
      </c>
      <c r="AZ162" s="14">
        <f t="shared" si="5"/>
        <v>161512.7737</v>
      </c>
    </row>
    <row r="163" spans="1:52">
      <c r="A163" s="9" t="s">
        <v>33</v>
      </c>
      <c r="B163" s="9" t="s">
        <v>187</v>
      </c>
      <c r="C163" s="9" t="s">
        <v>198</v>
      </c>
      <c r="D163" s="9">
        <v>0</v>
      </c>
      <c r="E163" s="9">
        <v>0</v>
      </c>
      <c r="F163" s="9">
        <v>0</v>
      </c>
      <c r="G163" s="9">
        <v>0</v>
      </c>
      <c r="H163" s="9">
        <v>11.8512</v>
      </c>
      <c r="I163" s="9">
        <v>4703.814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9">
        <v>0</v>
      </c>
      <c r="AD163" s="9">
        <v>0</v>
      </c>
      <c r="AE163" s="9">
        <v>0</v>
      </c>
      <c r="AF163" s="9">
        <v>0</v>
      </c>
      <c r="AG163" s="9">
        <v>0</v>
      </c>
      <c r="AH163" s="9">
        <v>0</v>
      </c>
      <c r="AI163" s="9">
        <v>0</v>
      </c>
      <c r="AJ163" s="9">
        <v>0</v>
      </c>
      <c r="AK163" s="9">
        <v>0</v>
      </c>
      <c r="AL163" s="9">
        <v>0</v>
      </c>
      <c r="AM163" s="9">
        <v>0</v>
      </c>
      <c r="AN163" s="9">
        <v>0</v>
      </c>
      <c r="AO163" s="9">
        <v>0</v>
      </c>
      <c r="AP163" s="9">
        <v>0</v>
      </c>
      <c r="AQ163" s="9">
        <v>0</v>
      </c>
      <c r="AR163" s="9">
        <v>0</v>
      </c>
      <c r="AS163" s="9">
        <v>0</v>
      </c>
      <c r="AT163" s="9">
        <v>39.4422</v>
      </c>
      <c r="AU163" s="9">
        <v>15654.849</v>
      </c>
      <c r="AV163" s="9">
        <v>0</v>
      </c>
      <c r="AW163" s="9">
        <v>0</v>
      </c>
      <c r="AX163" s="9">
        <v>0</v>
      </c>
      <c r="AY163" s="9">
        <v>0</v>
      </c>
      <c r="AZ163" s="14">
        <f t="shared" si="5"/>
        <v>20358.663</v>
      </c>
    </row>
    <row r="164" spans="1:52">
      <c r="A164" s="9" t="s">
        <v>33</v>
      </c>
      <c r="B164" s="9" t="s">
        <v>187</v>
      </c>
      <c r="C164" s="9" t="s">
        <v>199</v>
      </c>
      <c r="D164" s="9">
        <v>0</v>
      </c>
      <c r="E164" s="9">
        <v>0</v>
      </c>
      <c r="F164" s="9">
        <v>0</v>
      </c>
      <c r="G164" s="9">
        <v>0</v>
      </c>
      <c r="H164" s="9">
        <v>74.3542</v>
      </c>
      <c r="I164" s="9">
        <v>29511.6281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3.6839</v>
      </c>
      <c r="Q164" s="9">
        <v>1462.1499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9">
        <v>0</v>
      </c>
      <c r="AE164" s="9">
        <v>0</v>
      </c>
      <c r="AF164" s="9">
        <v>0</v>
      </c>
      <c r="AG164" s="9">
        <v>0</v>
      </c>
      <c r="AH164" s="9">
        <v>0</v>
      </c>
      <c r="AI164" s="9">
        <v>0</v>
      </c>
      <c r="AJ164" s="9">
        <v>0</v>
      </c>
      <c r="AK164" s="9">
        <v>0</v>
      </c>
      <c r="AL164" s="9">
        <v>0</v>
      </c>
      <c r="AM164" s="9">
        <v>0</v>
      </c>
      <c r="AN164" s="9">
        <v>0</v>
      </c>
      <c r="AO164" s="9">
        <v>0</v>
      </c>
      <c r="AP164" s="9">
        <v>0</v>
      </c>
      <c r="AQ164" s="9">
        <v>0</v>
      </c>
      <c r="AR164" s="9">
        <v>0</v>
      </c>
      <c r="AS164" s="9">
        <v>0</v>
      </c>
      <c r="AT164" s="9">
        <v>247.6706</v>
      </c>
      <c r="AU164" s="9">
        <v>98301.963</v>
      </c>
      <c r="AV164" s="9">
        <v>0</v>
      </c>
      <c r="AW164" s="9">
        <v>0</v>
      </c>
      <c r="AX164" s="9">
        <v>0</v>
      </c>
      <c r="AY164" s="9">
        <v>0</v>
      </c>
      <c r="AZ164" s="14">
        <f t="shared" si="5"/>
        <v>129275.741</v>
      </c>
    </row>
    <row r="165" spans="1:52">
      <c r="A165" s="9" t="s">
        <v>33</v>
      </c>
      <c r="B165" s="9" t="s">
        <v>187</v>
      </c>
      <c r="C165" s="9" t="s">
        <v>200</v>
      </c>
      <c r="D165" s="9">
        <v>0</v>
      </c>
      <c r="E165" s="9">
        <v>0</v>
      </c>
      <c r="F165" s="9">
        <v>0</v>
      </c>
      <c r="G165" s="9">
        <v>0</v>
      </c>
      <c r="H165" s="9">
        <v>109.3508</v>
      </c>
      <c r="I165" s="9">
        <v>43401.9807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2.7163</v>
      </c>
      <c r="Q165" s="9">
        <v>1078.1176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9">
        <v>0</v>
      </c>
      <c r="AE165" s="9">
        <v>0</v>
      </c>
      <c r="AF165" s="9">
        <v>0</v>
      </c>
      <c r="AG165" s="9">
        <v>0</v>
      </c>
      <c r="AH165" s="9">
        <v>0</v>
      </c>
      <c r="AI165" s="9">
        <v>0</v>
      </c>
      <c r="AJ165" s="9">
        <v>0</v>
      </c>
      <c r="AK165" s="9">
        <v>0</v>
      </c>
      <c r="AL165" s="9">
        <v>0</v>
      </c>
      <c r="AM165" s="9">
        <v>0</v>
      </c>
      <c r="AN165" s="9">
        <v>0</v>
      </c>
      <c r="AO165" s="9">
        <v>0</v>
      </c>
      <c r="AP165" s="9">
        <v>0</v>
      </c>
      <c r="AQ165" s="9">
        <v>0</v>
      </c>
      <c r="AR165" s="9">
        <v>0</v>
      </c>
      <c r="AS165" s="9">
        <v>0</v>
      </c>
      <c r="AT165" s="9">
        <v>43.828</v>
      </c>
      <c r="AU165" s="9">
        <v>17395.5962</v>
      </c>
      <c r="AV165" s="9">
        <v>0</v>
      </c>
      <c r="AW165" s="9">
        <v>0</v>
      </c>
      <c r="AX165" s="9">
        <v>0</v>
      </c>
      <c r="AY165" s="9">
        <v>0</v>
      </c>
      <c r="AZ165" s="14">
        <f t="shared" si="5"/>
        <v>61875.6945</v>
      </c>
    </row>
    <row r="166" spans="1:52">
      <c r="A166" s="9" t="s">
        <v>33</v>
      </c>
      <c r="B166" s="9" t="s">
        <v>187</v>
      </c>
      <c r="C166" s="9" t="s">
        <v>201</v>
      </c>
      <c r="D166" s="9">
        <v>0</v>
      </c>
      <c r="E166" s="9">
        <v>0</v>
      </c>
      <c r="F166" s="9">
        <v>0</v>
      </c>
      <c r="G166" s="9">
        <v>0</v>
      </c>
      <c r="H166" s="9">
        <v>83.7717</v>
      </c>
      <c r="I166" s="9">
        <v>33249.5058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  <c r="O166" s="9">
        <v>0</v>
      </c>
      <c r="P166" s="9">
        <v>0.9177</v>
      </c>
      <c r="Q166" s="9">
        <v>364.2332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9">
        <v>0</v>
      </c>
      <c r="AE166" s="9">
        <v>0</v>
      </c>
      <c r="AF166" s="9">
        <v>0</v>
      </c>
      <c r="AG166" s="9">
        <v>0</v>
      </c>
      <c r="AH166" s="9">
        <v>0</v>
      </c>
      <c r="AI166" s="9">
        <v>0</v>
      </c>
      <c r="AJ166" s="9">
        <v>0</v>
      </c>
      <c r="AK166" s="9">
        <v>0</v>
      </c>
      <c r="AL166" s="9">
        <v>0</v>
      </c>
      <c r="AM166" s="9">
        <v>0</v>
      </c>
      <c r="AN166" s="9">
        <v>0</v>
      </c>
      <c r="AO166" s="9">
        <v>0</v>
      </c>
      <c r="AP166" s="9">
        <v>0</v>
      </c>
      <c r="AQ166" s="9">
        <v>0</v>
      </c>
      <c r="AR166" s="9">
        <v>0</v>
      </c>
      <c r="AS166" s="9">
        <v>0</v>
      </c>
      <c r="AT166" s="9">
        <v>277.1842</v>
      </c>
      <c r="AU166" s="9">
        <v>110016.0562</v>
      </c>
      <c r="AV166" s="9">
        <v>0</v>
      </c>
      <c r="AW166" s="9">
        <v>0</v>
      </c>
      <c r="AX166" s="9">
        <v>0</v>
      </c>
      <c r="AY166" s="9">
        <v>0</v>
      </c>
      <c r="AZ166" s="14">
        <f t="shared" ref="AZ166:AZ197" si="6">E166+G166+I166+K166+M166+O166+Q166+S166+U166+W166+Y166+AA166+AC166+AE166+AG166+AI166+AK166+AM166+AO166+AQ166+AS166+AU166+AW166+AY166</f>
        <v>143629.7952</v>
      </c>
    </row>
    <row r="167" spans="1:52">
      <c r="A167" s="9" t="s">
        <v>33</v>
      </c>
      <c r="B167" s="9" t="s">
        <v>187</v>
      </c>
      <c r="C167" s="9" t="s">
        <v>202</v>
      </c>
      <c r="D167" s="9">
        <v>0</v>
      </c>
      <c r="E167" s="9">
        <v>0</v>
      </c>
      <c r="F167" s="9">
        <v>0</v>
      </c>
      <c r="G167" s="9">
        <v>0</v>
      </c>
      <c r="H167" s="9">
        <v>11.475</v>
      </c>
      <c r="I167" s="9">
        <v>4554.5003</v>
      </c>
      <c r="J167" s="9">
        <v>0.1118</v>
      </c>
      <c r="K167" s="9">
        <v>44.3662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9">
        <v>0</v>
      </c>
      <c r="AE167" s="9">
        <v>0</v>
      </c>
      <c r="AF167" s="9">
        <v>0</v>
      </c>
      <c r="AG167" s="9">
        <v>0</v>
      </c>
      <c r="AH167" s="9">
        <v>0</v>
      </c>
      <c r="AI167" s="9">
        <v>0</v>
      </c>
      <c r="AJ167" s="9">
        <v>0</v>
      </c>
      <c r="AK167" s="9">
        <v>0</v>
      </c>
      <c r="AL167" s="9">
        <v>0</v>
      </c>
      <c r="AM167" s="9">
        <v>0</v>
      </c>
      <c r="AN167" s="9">
        <v>0</v>
      </c>
      <c r="AO167" s="9">
        <v>0</v>
      </c>
      <c r="AP167" s="9">
        <v>0</v>
      </c>
      <c r="AQ167" s="9">
        <v>0</v>
      </c>
      <c r="AR167" s="9">
        <v>0</v>
      </c>
      <c r="AS167" s="9">
        <v>0</v>
      </c>
      <c r="AT167" s="9">
        <v>10.8508</v>
      </c>
      <c r="AU167" s="9">
        <v>4306.7317</v>
      </c>
      <c r="AV167" s="9">
        <v>0</v>
      </c>
      <c r="AW167" s="9">
        <v>0</v>
      </c>
      <c r="AX167" s="9">
        <v>0</v>
      </c>
      <c r="AY167" s="9">
        <v>0</v>
      </c>
      <c r="AZ167" s="14">
        <f t="shared" si="6"/>
        <v>8905.5982</v>
      </c>
    </row>
    <row r="168" spans="1:52">
      <c r="A168" s="9" t="s">
        <v>33</v>
      </c>
      <c r="B168" s="9" t="s">
        <v>187</v>
      </c>
      <c r="C168" s="9" t="s">
        <v>203</v>
      </c>
      <c r="D168" s="9">
        <v>0</v>
      </c>
      <c r="E168" s="9">
        <v>0</v>
      </c>
      <c r="F168" s="9">
        <v>0</v>
      </c>
      <c r="G168" s="9">
        <v>0</v>
      </c>
      <c r="H168" s="9">
        <v>198.6738</v>
      </c>
      <c r="I168" s="9">
        <v>78854.8233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  <c r="O168" s="9">
        <v>0</v>
      </c>
      <c r="P168" s="9">
        <v>94.0014</v>
      </c>
      <c r="Q168" s="9">
        <v>37309.7242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9">
        <v>0</v>
      </c>
      <c r="AE168" s="9">
        <v>0</v>
      </c>
      <c r="AF168" s="9">
        <v>0</v>
      </c>
      <c r="AG168" s="9">
        <v>0</v>
      </c>
      <c r="AH168" s="9">
        <v>0</v>
      </c>
      <c r="AI168" s="9">
        <v>0</v>
      </c>
      <c r="AJ168" s="9">
        <v>0</v>
      </c>
      <c r="AK168" s="9">
        <v>0</v>
      </c>
      <c r="AL168" s="9">
        <v>0</v>
      </c>
      <c r="AM168" s="9">
        <v>0</v>
      </c>
      <c r="AN168" s="9">
        <v>0</v>
      </c>
      <c r="AO168" s="9">
        <v>0</v>
      </c>
      <c r="AP168" s="9">
        <v>0</v>
      </c>
      <c r="AQ168" s="9">
        <v>0</v>
      </c>
      <c r="AR168" s="9">
        <v>0</v>
      </c>
      <c r="AS168" s="9">
        <v>0</v>
      </c>
      <c r="AT168" s="9">
        <v>368.8719</v>
      </c>
      <c r="AU168" s="9">
        <v>146407.4632</v>
      </c>
      <c r="AV168" s="9">
        <v>0</v>
      </c>
      <c r="AW168" s="9">
        <v>0</v>
      </c>
      <c r="AX168" s="9">
        <v>0</v>
      </c>
      <c r="AY168" s="9">
        <v>0</v>
      </c>
      <c r="AZ168" s="14">
        <f t="shared" si="6"/>
        <v>262572.0107</v>
      </c>
    </row>
    <row r="169" spans="1:52">
      <c r="A169" s="9" t="s">
        <v>33</v>
      </c>
      <c r="B169" s="9" t="s">
        <v>187</v>
      </c>
      <c r="C169" s="9" t="s">
        <v>204</v>
      </c>
      <c r="D169" s="9">
        <v>0</v>
      </c>
      <c r="E169" s="9">
        <v>0</v>
      </c>
      <c r="F169" s="9">
        <v>0</v>
      </c>
      <c r="G169" s="9">
        <v>0</v>
      </c>
      <c r="H169" s="9">
        <v>71.559</v>
      </c>
      <c r="I169" s="9">
        <v>28402.1877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0.5008</v>
      </c>
      <c r="Q169" s="9">
        <v>198.7781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9">
        <v>0</v>
      </c>
      <c r="AE169" s="9">
        <v>0</v>
      </c>
      <c r="AF169" s="9">
        <v>0</v>
      </c>
      <c r="AG169" s="9">
        <v>0</v>
      </c>
      <c r="AH169" s="9">
        <v>0</v>
      </c>
      <c r="AI169" s="9">
        <v>0</v>
      </c>
      <c r="AJ169" s="9">
        <v>0</v>
      </c>
      <c r="AK169" s="9">
        <v>0</v>
      </c>
      <c r="AL169" s="9">
        <v>0</v>
      </c>
      <c r="AM169" s="9">
        <v>0</v>
      </c>
      <c r="AN169" s="9">
        <v>0</v>
      </c>
      <c r="AO169" s="9">
        <v>0</v>
      </c>
      <c r="AP169" s="9">
        <v>0</v>
      </c>
      <c r="AQ169" s="9">
        <v>0</v>
      </c>
      <c r="AR169" s="9">
        <v>0</v>
      </c>
      <c r="AS169" s="9">
        <v>0</v>
      </c>
      <c r="AT169" s="9">
        <v>211.3022</v>
      </c>
      <c r="AU169" s="9">
        <v>83867.1031</v>
      </c>
      <c r="AV169" s="9">
        <v>0</v>
      </c>
      <c r="AW169" s="9">
        <v>0</v>
      </c>
      <c r="AX169" s="9">
        <v>0</v>
      </c>
      <c r="AY169" s="9">
        <v>0</v>
      </c>
      <c r="AZ169" s="14">
        <f t="shared" si="6"/>
        <v>112468.0689</v>
      </c>
    </row>
    <row r="170" spans="1:52">
      <c r="A170" s="9" t="s">
        <v>33</v>
      </c>
      <c r="B170" s="9" t="s">
        <v>187</v>
      </c>
      <c r="C170" s="9" t="s">
        <v>205</v>
      </c>
      <c r="D170" s="9">
        <v>0</v>
      </c>
      <c r="E170" s="9">
        <v>0</v>
      </c>
      <c r="F170" s="9">
        <v>0</v>
      </c>
      <c r="G170" s="9">
        <v>0</v>
      </c>
      <c r="H170" s="9">
        <v>148.7755</v>
      </c>
      <c r="I170" s="9">
        <v>59049.9001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0</v>
      </c>
      <c r="AD170" s="9">
        <v>0</v>
      </c>
      <c r="AE170" s="9">
        <v>0</v>
      </c>
      <c r="AF170" s="9">
        <v>0</v>
      </c>
      <c r="AG170" s="9">
        <v>0</v>
      </c>
      <c r="AH170" s="9">
        <v>0</v>
      </c>
      <c r="AI170" s="9">
        <v>0</v>
      </c>
      <c r="AJ170" s="9">
        <v>0</v>
      </c>
      <c r="AK170" s="9">
        <v>0</v>
      </c>
      <c r="AL170" s="9">
        <v>0</v>
      </c>
      <c r="AM170" s="9">
        <v>0</v>
      </c>
      <c r="AN170" s="9">
        <v>0</v>
      </c>
      <c r="AO170" s="9">
        <v>0</v>
      </c>
      <c r="AP170" s="9">
        <v>0</v>
      </c>
      <c r="AQ170" s="9">
        <v>0</v>
      </c>
      <c r="AR170" s="9">
        <v>0</v>
      </c>
      <c r="AS170" s="9">
        <v>0</v>
      </c>
      <c r="AT170" s="9">
        <v>205.412</v>
      </c>
      <c r="AU170" s="9">
        <v>81529.2553</v>
      </c>
      <c r="AV170" s="9">
        <v>0</v>
      </c>
      <c r="AW170" s="9">
        <v>0</v>
      </c>
      <c r="AX170" s="9">
        <v>0</v>
      </c>
      <c r="AY170" s="9">
        <v>0</v>
      </c>
      <c r="AZ170" s="14">
        <f t="shared" si="6"/>
        <v>140579.1554</v>
      </c>
    </row>
    <row r="171" spans="1:52">
      <c r="A171" s="9" t="s">
        <v>33</v>
      </c>
      <c r="B171" s="9" t="s">
        <v>187</v>
      </c>
      <c r="C171" s="9" t="s">
        <v>206</v>
      </c>
      <c r="D171" s="9">
        <v>0</v>
      </c>
      <c r="E171" s="9">
        <v>0</v>
      </c>
      <c r="F171" s="9">
        <v>0</v>
      </c>
      <c r="G171" s="9">
        <v>0</v>
      </c>
      <c r="H171" s="9">
        <v>111.4439</v>
      </c>
      <c r="I171" s="9">
        <v>44232.7661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51.2573</v>
      </c>
      <c r="Q171" s="9">
        <v>20344.3457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</v>
      </c>
      <c r="AC171" s="9">
        <v>0</v>
      </c>
      <c r="AD171" s="9">
        <v>0</v>
      </c>
      <c r="AE171" s="9">
        <v>0</v>
      </c>
      <c r="AF171" s="9">
        <v>0</v>
      </c>
      <c r="AG171" s="9">
        <v>0</v>
      </c>
      <c r="AH171" s="9">
        <v>0</v>
      </c>
      <c r="AI171" s="9">
        <v>0</v>
      </c>
      <c r="AJ171" s="9">
        <v>0</v>
      </c>
      <c r="AK171" s="9">
        <v>0</v>
      </c>
      <c r="AL171" s="9">
        <v>0</v>
      </c>
      <c r="AM171" s="9">
        <v>0</v>
      </c>
      <c r="AN171" s="9">
        <v>0</v>
      </c>
      <c r="AO171" s="9">
        <v>0</v>
      </c>
      <c r="AP171" s="9">
        <v>0</v>
      </c>
      <c r="AQ171" s="9">
        <v>0</v>
      </c>
      <c r="AR171" s="9">
        <v>0</v>
      </c>
      <c r="AS171" s="9">
        <v>0</v>
      </c>
      <c r="AT171" s="9">
        <v>172.5812</v>
      </c>
      <c r="AU171" s="9">
        <v>68498.5076</v>
      </c>
      <c r="AV171" s="9">
        <v>0</v>
      </c>
      <c r="AW171" s="9">
        <v>0</v>
      </c>
      <c r="AX171" s="9">
        <v>0</v>
      </c>
      <c r="AY171" s="9">
        <v>0</v>
      </c>
      <c r="AZ171" s="14">
        <f t="shared" si="6"/>
        <v>133075.6194</v>
      </c>
    </row>
    <row r="172" spans="1:52">
      <c r="A172" s="9" t="s">
        <v>33</v>
      </c>
      <c r="B172" s="9" t="s">
        <v>207</v>
      </c>
      <c r="C172" s="9" t="s">
        <v>208</v>
      </c>
      <c r="D172" s="9">
        <v>0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  <c r="O172" s="9">
        <v>0</v>
      </c>
      <c r="P172" s="9">
        <v>0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0</v>
      </c>
      <c r="AD172" s="9">
        <v>0</v>
      </c>
      <c r="AE172" s="9">
        <v>0</v>
      </c>
      <c r="AF172" s="9">
        <v>0</v>
      </c>
      <c r="AG172" s="9">
        <v>0</v>
      </c>
      <c r="AH172" s="9">
        <v>0</v>
      </c>
      <c r="AI172" s="9">
        <v>0</v>
      </c>
      <c r="AJ172" s="9">
        <v>0</v>
      </c>
      <c r="AK172" s="9">
        <v>0</v>
      </c>
      <c r="AL172" s="9">
        <v>0</v>
      </c>
      <c r="AM172" s="9">
        <v>0</v>
      </c>
      <c r="AN172" s="9">
        <v>0</v>
      </c>
      <c r="AO172" s="9">
        <v>0</v>
      </c>
      <c r="AP172" s="9">
        <v>0</v>
      </c>
      <c r="AQ172" s="9">
        <v>0</v>
      </c>
      <c r="AR172" s="9">
        <v>0</v>
      </c>
      <c r="AS172" s="9">
        <v>0</v>
      </c>
      <c r="AT172" s="9">
        <v>0</v>
      </c>
      <c r="AU172" s="9">
        <v>0</v>
      </c>
      <c r="AV172" s="9">
        <v>0</v>
      </c>
      <c r="AW172" s="9">
        <v>0</v>
      </c>
      <c r="AX172" s="9">
        <v>0</v>
      </c>
      <c r="AY172" s="9">
        <v>0</v>
      </c>
      <c r="AZ172" s="14">
        <f t="shared" si="6"/>
        <v>0</v>
      </c>
    </row>
    <row r="173" spans="1:52">
      <c r="A173" s="9" t="s">
        <v>33</v>
      </c>
      <c r="B173" s="9" t="s">
        <v>209</v>
      </c>
      <c r="C173" s="9" t="s">
        <v>210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11491.5053</v>
      </c>
      <c r="M173" s="9">
        <v>34474.5159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9">
        <v>0</v>
      </c>
      <c r="AC173" s="9">
        <v>0</v>
      </c>
      <c r="AD173" s="9">
        <v>0</v>
      </c>
      <c r="AE173" s="9">
        <v>0</v>
      </c>
      <c r="AF173" s="9">
        <v>0</v>
      </c>
      <c r="AG173" s="9">
        <v>0</v>
      </c>
      <c r="AH173" s="9">
        <v>0</v>
      </c>
      <c r="AI173" s="9">
        <v>0</v>
      </c>
      <c r="AJ173" s="9">
        <v>0</v>
      </c>
      <c r="AK173" s="9">
        <v>0</v>
      </c>
      <c r="AL173" s="9">
        <v>0</v>
      </c>
      <c r="AM173" s="9">
        <v>0</v>
      </c>
      <c r="AN173" s="9">
        <v>0</v>
      </c>
      <c r="AO173" s="9">
        <v>0</v>
      </c>
      <c r="AP173" s="9">
        <v>0</v>
      </c>
      <c r="AQ173" s="9">
        <v>0</v>
      </c>
      <c r="AR173" s="9">
        <v>0</v>
      </c>
      <c r="AS173" s="9">
        <v>0</v>
      </c>
      <c r="AT173" s="9">
        <v>0</v>
      </c>
      <c r="AU173" s="9">
        <v>0</v>
      </c>
      <c r="AV173" s="9">
        <v>0</v>
      </c>
      <c r="AW173" s="9">
        <v>0</v>
      </c>
      <c r="AX173" s="9">
        <v>0</v>
      </c>
      <c r="AY173" s="9">
        <v>0</v>
      </c>
      <c r="AZ173" s="14">
        <f t="shared" si="6"/>
        <v>34474.5159</v>
      </c>
    </row>
    <row r="174" spans="1:52">
      <c r="A174" s="9" t="s">
        <v>33</v>
      </c>
      <c r="B174" s="9" t="s">
        <v>209</v>
      </c>
      <c r="C174" s="9" t="s">
        <v>211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26025.2784</v>
      </c>
      <c r="M174" s="9">
        <v>78075.8351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9">
        <v>0</v>
      </c>
      <c r="AE174" s="9">
        <v>0</v>
      </c>
      <c r="AF174" s="9">
        <v>0</v>
      </c>
      <c r="AG174" s="9">
        <v>0</v>
      </c>
      <c r="AH174" s="9">
        <v>0</v>
      </c>
      <c r="AI174" s="9">
        <v>0</v>
      </c>
      <c r="AJ174" s="9">
        <v>0</v>
      </c>
      <c r="AK174" s="9">
        <v>0</v>
      </c>
      <c r="AL174" s="9">
        <v>0</v>
      </c>
      <c r="AM174" s="9">
        <v>0</v>
      </c>
      <c r="AN174" s="9">
        <v>0</v>
      </c>
      <c r="AO174" s="9">
        <v>0</v>
      </c>
      <c r="AP174" s="9">
        <v>0</v>
      </c>
      <c r="AQ174" s="9">
        <v>0</v>
      </c>
      <c r="AR174" s="9">
        <v>0</v>
      </c>
      <c r="AS174" s="9">
        <v>0</v>
      </c>
      <c r="AT174" s="9">
        <v>0</v>
      </c>
      <c r="AU174" s="9">
        <v>0</v>
      </c>
      <c r="AV174" s="9">
        <v>0</v>
      </c>
      <c r="AW174" s="9">
        <v>0</v>
      </c>
      <c r="AX174" s="9">
        <v>0</v>
      </c>
      <c r="AY174" s="9">
        <v>0</v>
      </c>
      <c r="AZ174" s="14">
        <f t="shared" si="6"/>
        <v>78075.8351</v>
      </c>
    </row>
    <row r="175" spans="1:52">
      <c r="A175" s="9" t="s">
        <v>33</v>
      </c>
      <c r="B175" s="9" t="s">
        <v>212</v>
      </c>
      <c r="C175" s="9" t="s">
        <v>213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3.7058</v>
      </c>
      <c r="K175" s="9">
        <v>1470.8463</v>
      </c>
      <c r="L175" s="9">
        <v>27.134</v>
      </c>
      <c r="M175" s="9">
        <v>81.4019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9">
        <v>0</v>
      </c>
      <c r="AE175" s="9">
        <v>0</v>
      </c>
      <c r="AF175" s="9">
        <v>0</v>
      </c>
      <c r="AG175" s="9">
        <v>0</v>
      </c>
      <c r="AH175" s="9">
        <v>0</v>
      </c>
      <c r="AI175" s="9">
        <v>0</v>
      </c>
      <c r="AJ175" s="9">
        <v>0</v>
      </c>
      <c r="AK175" s="9">
        <v>0</v>
      </c>
      <c r="AL175" s="9">
        <v>0</v>
      </c>
      <c r="AM175" s="9">
        <v>0</v>
      </c>
      <c r="AN175" s="9">
        <v>0</v>
      </c>
      <c r="AO175" s="9">
        <v>0</v>
      </c>
      <c r="AP175" s="9">
        <v>0</v>
      </c>
      <c r="AQ175" s="9">
        <v>0</v>
      </c>
      <c r="AR175" s="9">
        <v>0</v>
      </c>
      <c r="AS175" s="9">
        <v>0</v>
      </c>
      <c r="AT175" s="9">
        <v>0</v>
      </c>
      <c r="AU175" s="9">
        <v>0</v>
      </c>
      <c r="AV175" s="9">
        <v>0</v>
      </c>
      <c r="AW175" s="9">
        <v>0</v>
      </c>
      <c r="AX175" s="9">
        <v>0</v>
      </c>
      <c r="AY175" s="9">
        <v>0</v>
      </c>
      <c r="AZ175" s="14">
        <f t="shared" si="6"/>
        <v>1552.2482</v>
      </c>
    </row>
    <row r="176" spans="1:52">
      <c r="A176" s="9" t="s">
        <v>33</v>
      </c>
      <c r="B176" s="9" t="s">
        <v>212</v>
      </c>
      <c r="C176" s="9" t="s">
        <v>214</v>
      </c>
      <c r="D176" s="9">
        <v>0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9">
        <v>0</v>
      </c>
      <c r="AE176" s="9">
        <v>0</v>
      </c>
      <c r="AF176" s="9">
        <v>0</v>
      </c>
      <c r="AG176" s="9">
        <v>0</v>
      </c>
      <c r="AH176" s="9">
        <v>0</v>
      </c>
      <c r="AI176" s="9">
        <v>0</v>
      </c>
      <c r="AJ176" s="9">
        <v>0</v>
      </c>
      <c r="AK176" s="9">
        <v>0</v>
      </c>
      <c r="AL176" s="9">
        <v>0</v>
      </c>
      <c r="AM176" s="9">
        <v>0</v>
      </c>
      <c r="AN176" s="9">
        <v>0</v>
      </c>
      <c r="AO176" s="9">
        <v>0</v>
      </c>
      <c r="AP176" s="9">
        <v>0</v>
      </c>
      <c r="AQ176" s="9">
        <v>0</v>
      </c>
      <c r="AR176" s="9">
        <v>0</v>
      </c>
      <c r="AS176" s="9">
        <v>0</v>
      </c>
      <c r="AT176" s="9">
        <v>0</v>
      </c>
      <c r="AU176" s="9">
        <v>0</v>
      </c>
      <c r="AV176" s="9">
        <v>0</v>
      </c>
      <c r="AW176" s="9">
        <v>0</v>
      </c>
      <c r="AX176" s="9">
        <v>0</v>
      </c>
      <c r="AY176" s="9">
        <v>0</v>
      </c>
      <c r="AZ176" s="14">
        <f t="shared" si="6"/>
        <v>0</v>
      </c>
    </row>
    <row r="177" spans="1:52">
      <c r="A177" s="9" t="s">
        <v>33</v>
      </c>
      <c r="B177" s="9" t="s">
        <v>212</v>
      </c>
      <c r="C177" s="9" t="s">
        <v>215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0.4512</v>
      </c>
      <c r="K177" s="9">
        <v>179.0721</v>
      </c>
      <c r="L177" s="9">
        <v>36.9048</v>
      </c>
      <c r="M177" s="9">
        <v>110.7143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9">
        <v>0</v>
      </c>
      <c r="AE177" s="9">
        <v>0</v>
      </c>
      <c r="AF177" s="9">
        <v>0</v>
      </c>
      <c r="AG177" s="9">
        <v>0</v>
      </c>
      <c r="AH177" s="9">
        <v>0</v>
      </c>
      <c r="AI177" s="9">
        <v>0</v>
      </c>
      <c r="AJ177" s="9">
        <v>0</v>
      </c>
      <c r="AK177" s="9">
        <v>0</v>
      </c>
      <c r="AL177" s="9">
        <v>0</v>
      </c>
      <c r="AM177" s="9">
        <v>0</v>
      </c>
      <c r="AN177" s="9">
        <v>0</v>
      </c>
      <c r="AO177" s="9">
        <v>0</v>
      </c>
      <c r="AP177" s="9">
        <v>0</v>
      </c>
      <c r="AQ177" s="9">
        <v>0</v>
      </c>
      <c r="AR177" s="9">
        <v>0</v>
      </c>
      <c r="AS177" s="9">
        <v>0</v>
      </c>
      <c r="AT177" s="9">
        <v>0</v>
      </c>
      <c r="AU177" s="9">
        <v>0</v>
      </c>
      <c r="AV177" s="9">
        <v>0</v>
      </c>
      <c r="AW177" s="9">
        <v>0</v>
      </c>
      <c r="AX177" s="9">
        <v>0</v>
      </c>
      <c r="AY177" s="9">
        <v>0</v>
      </c>
      <c r="AZ177" s="14">
        <f t="shared" si="6"/>
        <v>289.7864</v>
      </c>
    </row>
    <row r="178" spans="1:52">
      <c r="A178" s="9" t="s">
        <v>33</v>
      </c>
      <c r="B178" s="9" t="s">
        <v>212</v>
      </c>
      <c r="C178" s="9" t="s">
        <v>216</v>
      </c>
      <c r="D178" s="9">
        <v>0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15.7083</v>
      </c>
      <c r="K178" s="9">
        <v>6234.7304</v>
      </c>
      <c r="L178" s="9">
        <v>18.6835</v>
      </c>
      <c r="M178" s="9">
        <v>56.0505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9">
        <v>0</v>
      </c>
      <c r="AE178" s="9">
        <v>0</v>
      </c>
      <c r="AF178" s="9">
        <v>0</v>
      </c>
      <c r="AG178" s="9">
        <v>0</v>
      </c>
      <c r="AH178" s="9">
        <v>0</v>
      </c>
      <c r="AI178" s="9">
        <v>0</v>
      </c>
      <c r="AJ178" s="9">
        <v>0</v>
      </c>
      <c r="AK178" s="9">
        <v>0</v>
      </c>
      <c r="AL178" s="9">
        <v>0</v>
      </c>
      <c r="AM178" s="9">
        <v>0</v>
      </c>
      <c r="AN178" s="9">
        <v>0</v>
      </c>
      <c r="AO178" s="9">
        <v>0</v>
      </c>
      <c r="AP178" s="9">
        <v>0</v>
      </c>
      <c r="AQ178" s="9">
        <v>0</v>
      </c>
      <c r="AR178" s="9">
        <v>0</v>
      </c>
      <c r="AS178" s="9">
        <v>0</v>
      </c>
      <c r="AT178" s="9">
        <v>0</v>
      </c>
      <c r="AU178" s="9">
        <v>0</v>
      </c>
      <c r="AV178" s="9">
        <v>0</v>
      </c>
      <c r="AW178" s="9">
        <v>0</v>
      </c>
      <c r="AX178" s="9">
        <v>0</v>
      </c>
      <c r="AY178" s="9">
        <v>0</v>
      </c>
      <c r="AZ178" s="14">
        <f t="shared" si="6"/>
        <v>6290.7809</v>
      </c>
    </row>
    <row r="179" spans="1:52">
      <c r="A179" s="9" t="s">
        <v>33</v>
      </c>
      <c r="B179" s="9" t="s">
        <v>212</v>
      </c>
      <c r="C179" s="9" t="s">
        <v>217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0.7356</v>
      </c>
      <c r="K179" s="9">
        <v>291.9641</v>
      </c>
      <c r="L179" s="9">
        <v>141.6129</v>
      </c>
      <c r="M179" s="9">
        <v>424.8388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9">
        <v>0</v>
      </c>
      <c r="AE179" s="9">
        <v>0</v>
      </c>
      <c r="AF179" s="9">
        <v>0</v>
      </c>
      <c r="AG179" s="9">
        <v>0</v>
      </c>
      <c r="AH179" s="9">
        <v>0</v>
      </c>
      <c r="AI179" s="9">
        <v>0</v>
      </c>
      <c r="AJ179" s="9">
        <v>0</v>
      </c>
      <c r="AK179" s="9">
        <v>0</v>
      </c>
      <c r="AL179" s="9">
        <v>0</v>
      </c>
      <c r="AM179" s="9">
        <v>0</v>
      </c>
      <c r="AN179" s="9">
        <v>0</v>
      </c>
      <c r="AO179" s="9">
        <v>0</v>
      </c>
      <c r="AP179" s="9">
        <v>0</v>
      </c>
      <c r="AQ179" s="9">
        <v>0</v>
      </c>
      <c r="AR179" s="9">
        <v>0</v>
      </c>
      <c r="AS179" s="9">
        <v>0</v>
      </c>
      <c r="AT179" s="9">
        <v>0</v>
      </c>
      <c r="AU179" s="9">
        <v>0</v>
      </c>
      <c r="AV179" s="9">
        <v>0</v>
      </c>
      <c r="AW179" s="9">
        <v>0</v>
      </c>
      <c r="AX179" s="9">
        <v>0</v>
      </c>
      <c r="AY179" s="9">
        <v>0</v>
      </c>
      <c r="AZ179" s="14">
        <f t="shared" si="6"/>
        <v>716.8029</v>
      </c>
    </row>
    <row r="180" spans="1:52">
      <c r="A180" s="9" t="s">
        <v>33</v>
      </c>
      <c r="B180" s="9" t="s">
        <v>212</v>
      </c>
      <c r="C180" s="9" t="s">
        <v>218</v>
      </c>
      <c r="D180" s="9">
        <v>0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6.885</v>
      </c>
      <c r="K180" s="9">
        <v>2732.6925</v>
      </c>
      <c r="L180" s="9">
        <v>17.739</v>
      </c>
      <c r="M180" s="9">
        <v>53.2169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  <c r="AD180" s="9">
        <v>0</v>
      </c>
      <c r="AE180" s="9">
        <v>0</v>
      </c>
      <c r="AF180" s="9">
        <v>0</v>
      </c>
      <c r="AG180" s="9">
        <v>0</v>
      </c>
      <c r="AH180" s="9">
        <v>0</v>
      </c>
      <c r="AI180" s="9">
        <v>0</v>
      </c>
      <c r="AJ180" s="9">
        <v>0</v>
      </c>
      <c r="AK180" s="9">
        <v>0</v>
      </c>
      <c r="AL180" s="9">
        <v>0</v>
      </c>
      <c r="AM180" s="9">
        <v>0</v>
      </c>
      <c r="AN180" s="9">
        <v>0</v>
      </c>
      <c r="AO180" s="9">
        <v>0</v>
      </c>
      <c r="AP180" s="9">
        <v>0</v>
      </c>
      <c r="AQ180" s="9">
        <v>0</v>
      </c>
      <c r="AR180" s="9">
        <v>0</v>
      </c>
      <c r="AS180" s="9">
        <v>0</v>
      </c>
      <c r="AT180" s="9">
        <v>0</v>
      </c>
      <c r="AU180" s="9">
        <v>0</v>
      </c>
      <c r="AV180" s="9">
        <v>0</v>
      </c>
      <c r="AW180" s="9">
        <v>0</v>
      </c>
      <c r="AX180" s="9">
        <v>0</v>
      </c>
      <c r="AY180" s="9">
        <v>0</v>
      </c>
      <c r="AZ180" s="14">
        <f t="shared" si="6"/>
        <v>2785.9094</v>
      </c>
    </row>
    <row r="181" spans="1:52">
      <c r="A181" s="9" t="s">
        <v>33</v>
      </c>
      <c r="B181" s="9" t="s">
        <v>212</v>
      </c>
      <c r="C181" s="9" t="s">
        <v>219</v>
      </c>
      <c r="D181" s="9">
        <v>0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12.2604</v>
      </c>
      <c r="K181" s="9">
        <v>4866.2263</v>
      </c>
      <c r="L181" s="9">
        <v>67.0622</v>
      </c>
      <c r="M181" s="9">
        <v>201.1866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9">
        <v>0</v>
      </c>
      <c r="AC181" s="9">
        <v>0</v>
      </c>
      <c r="AD181" s="9">
        <v>0</v>
      </c>
      <c r="AE181" s="9">
        <v>0</v>
      </c>
      <c r="AF181" s="9">
        <v>0</v>
      </c>
      <c r="AG181" s="9">
        <v>0</v>
      </c>
      <c r="AH181" s="9">
        <v>0</v>
      </c>
      <c r="AI181" s="9">
        <v>0</v>
      </c>
      <c r="AJ181" s="9">
        <v>0</v>
      </c>
      <c r="AK181" s="9">
        <v>0</v>
      </c>
      <c r="AL181" s="9">
        <v>0</v>
      </c>
      <c r="AM181" s="9">
        <v>0</v>
      </c>
      <c r="AN181" s="9">
        <v>0</v>
      </c>
      <c r="AO181" s="9">
        <v>0</v>
      </c>
      <c r="AP181" s="9">
        <v>0</v>
      </c>
      <c r="AQ181" s="9">
        <v>0</v>
      </c>
      <c r="AR181" s="9">
        <v>0</v>
      </c>
      <c r="AS181" s="9">
        <v>0</v>
      </c>
      <c r="AT181" s="9">
        <v>0</v>
      </c>
      <c r="AU181" s="9">
        <v>0</v>
      </c>
      <c r="AV181" s="9">
        <v>0</v>
      </c>
      <c r="AW181" s="9">
        <v>0</v>
      </c>
      <c r="AX181" s="9">
        <v>0</v>
      </c>
      <c r="AY181" s="9">
        <v>0</v>
      </c>
      <c r="AZ181" s="14">
        <f t="shared" si="6"/>
        <v>5067.4129</v>
      </c>
    </row>
    <row r="182" spans="1:52">
      <c r="A182" s="9" t="s">
        <v>33</v>
      </c>
      <c r="B182" s="9" t="s">
        <v>212</v>
      </c>
      <c r="C182" s="9" t="s">
        <v>220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167.2626</v>
      </c>
      <c r="M182" s="9">
        <v>501.7878</v>
      </c>
      <c r="N182" s="9">
        <v>0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156.2895</v>
      </c>
      <c r="W182" s="9">
        <v>62032.2403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9">
        <v>0</v>
      </c>
      <c r="AE182" s="9">
        <v>0</v>
      </c>
      <c r="AF182" s="9">
        <v>0</v>
      </c>
      <c r="AG182" s="9">
        <v>0</v>
      </c>
      <c r="AH182" s="9">
        <v>0</v>
      </c>
      <c r="AI182" s="9">
        <v>0</v>
      </c>
      <c r="AJ182" s="9">
        <v>0</v>
      </c>
      <c r="AK182" s="9">
        <v>0</v>
      </c>
      <c r="AL182" s="9">
        <v>0</v>
      </c>
      <c r="AM182" s="9">
        <v>0</v>
      </c>
      <c r="AN182" s="9">
        <v>0</v>
      </c>
      <c r="AO182" s="9">
        <v>0</v>
      </c>
      <c r="AP182" s="9">
        <v>0</v>
      </c>
      <c r="AQ182" s="9">
        <v>0</v>
      </c>
      <c r="AR182" s="9">
        <v>0</v>
      </c>
      <c r="AS182" s="9">
        <v>0</v>
      </c>
      <c r="AT182" s="9">
        <v>0</v>
      </c>
      <c r="AU182" s="9">
        <v>0</v>
      </c>
      <c r="AV182" s="9">
        <v>0</v>
      </c>
      <c r="AW182" s="9">
        <v>0</v>
      </c>
      <c r="AX182" s="9">
        <v>0</v>
      </c>
      <c r="AY182" s="9">
        <v>0</v>
      </c>
      <c r="AZ182" s="14">
        <f t="shared" si="6"/>
        <v>62534.0281</v>
      </c>
    </row>
    <row r="183" spans="1:52">
      <c r="A183" s="9" t="s">
        <v>33</v>
      </c>
      <c r="B183" s="9" t="s">
        <v>212</v>
      </c>
      <c r="C183" s="9" t="s">
        <v>221</v>
      </c>
      <c r="D183" s="9">
        <v>0</v>
      </c>
      <c r="E183" s="9">
        <v>0</v>
      </c>
      <c r="F183" s="9">
        <v>0</v>
      </c>
      <c r="G183" s="9">
        <v>0</v>
      </c>
      <c r="H183" s="9">
        <v>0</v>
      </c>
      <c r="I183" s="9">
        <v>0</v>
      </c>
      <c r="J183" s="9">
        <v>7.179</v>
      </c>
      <c r="K183" s="9">
        <v>2849.3691</v>
      </c>
      <c r="L183" s="9">
        <v>9.3306</v>
      </c>
      <c r="M183" s="9">
        <v>27.9917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9">
        <v>0</v>
      </c>
      <c r="AE183" s="9">
        <v>0</v>
      </c>
      <c r="AF183" s="9">
        <v>0</v>
      </c>
      <c r="AG183" s="9">
        <v>0</v>
      </c>
      <c r="AH183" s="9">
        <v>0</v>
      </c>
      <c r="AI183" s="9">
        <v>0</v>
      </c>
      <c r="AJ183" s="9">
        <v>0</v>
      </c>
      <c r="AK183" s="9">
        <v>0</v>
      </c>
      <c r="AL183" s="9">
        <v>0</v>
      </c>
      <c r="AM183" s="9">
        <v>0</v>
      </c>
      <c r="AN183" s="9">
        <v>0</v>
      </c>
      <c r="AO183" s="9">
        <v>0</v>
      </c>
      <c r="AP183" s="9">
        <v>0</v>
      </c>
      <c r="AQ183" s="9">
        <v>0</v>
      </c>
      <c r="AR183" s="9">
        <v>0</v>
      </c>
      <c r="AS183" s="9">
        <v>0</v>
      </c>
      <c r="AT183" s="9">
        <v>0</v>
      </c>
      <c r="AU183" s="9">
        <v>0</v>
      </c>
      <c r="AV183" s="9">
        <v>0</v>
      </c>
      <c r="AW183" s="9">
        <v>0</v>
      </c>
      <c r="AX183" s="9">
        <v>0</v>
      </c>
      <c r="AY183" s="9">
        <v>0</v>
      </c>
      <c r="AZ183" s="14">
        <f t="shared" si="6"/>
        <v>2877.3608</v>
      </c>
    </row>
    <row r="184" spans="1:52">
      <c r="A184" s="9" t="s">
        <v>33</v>
      </c>
      <c r="B184" s="9" t="s">
        <v>212</v>
      </c>
      <c r="C184" s="9" t="s">
        <v>222</v>
      </c>
      <c r="D184" s="9">
        <v>0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12.5479</v>
      </c>
      <c r="K184" s="9">
        <v>4980.3447</v>
      </c>
      <c r="L184" s="9">
        <v>0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9">
        <v>0</v>
      </c>
      <c r="AC184" s="9">
        <v>0</v>
      </c>
      <c r="AD184" s="9">
        <v>0</v>
      </c>
      <c r="AE184" s="9">
        <v>0</v>
      </c>
      <c r="AF184" s="9">
        <v>0</v>
      </c>
      <c r="AG184" s="9">
        <v>0</v>
      </c>
      <c r="AH184" s="9">
        <v>0</v>
      </c>
      <c r="AI184" s="9">
        <v>0</v>
      </c>
      <c r="AJ184" s="9">
        <v>0</v>
      </c>
      <c r="AK184" s="9">
        <v>0</v>
      </c>
      <c r="AL184" s="9">
        <v>0</v>
      </c>
      <c r="AM184" s="9">
        <v>0</v>
      </c>
      <c r="AN184" s="9">
        <v>0</v>
      </c>
      <c r="AO184" s="9">
        <v>0</v>
      </c>
      <c r="AP184" s="9">
        <v>0</v>
      </c>
      <c r="AQ184" s="9">
        <v>0</v>
      </c>
      <c r="AR184" s="9">
        <v>0</v>
      </c>
      <c r="AS184" s="9">
        <v>0</v>
      </c>
      <c r="AT184" s="9">
        <v>0</v>
      </c>
      <c r="AU184" s="9">
        <v>0</v>
      </c>
      <c r="AV184" s="9">
        <v>0</v>
      </c>
      <c r="AW184" s="9">
        <v>0</v>
      </c>
      <c r="AX184" s="9">
        <v>0</v>
      </c>
      <c r="AY184" s="9">
        <v>0</v>
      </c>
      <c r="AZ184" s="14">
        <f t="shared" si="6"/>
        <v>4980.3447</v>
      </c>
    </row>
    <row r="185" spans="1:52">
      <c r="A185" s="9" t="s">
        <v>33</v>
      </c>
      <c r="B185" s="9" t="s">
        <v>212</v>
      </c>
      <c r="C185" s="9" t="s">
        <v>223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0.1276</v>
      </c>
      <c r="K185" s="9">
        <v>50.6274</v>
      </c>
      <c r="L185" s="9">
        <v>32.2653</v>
      </c>
      <c r="M185" s="9">
        <v>96.796</v>
      </c>
      <c r="N185" s="9">
        <v>0</v>
      </c>
      <c r="O185" s="9">
        <v>0</v>
      </c>
      <c r="P185" s="9">
        <v>2.0353</v>
      </c>
      <c r="Q185" s="9">
        <v>807.8212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9">
        <v>0</v>
      </c>
      <c r="AE185" s="9">
        <v>0</v>
      </c>
      <c r="AF185" s="9">
        <v>0</v>
      </c>
      <c r="AG185" s="9">
        <v>0</v>
      </c>
      <c r="AH185" s="9">
        <v>0</v>
      </c>
      <c r="AI185" s="9">
        <v>0</v>
      </c>
      <c r="AJ185" s="9">
        <v>0</v>
      </c>
      <c r="AK185" s="9">
        <v>0</v>
      </c>
      <c r="AL185" s="9">
        <v>0</v>
      </c>
      <c r="AM185" s="9">
        <v>0</v>
      </c>
      <c r="AN185" s="9">
        <v>0</v>
      </c>
      <c r="AO185" s="9">
        <v>0</v>
      </c>
      <c r="AP185" s="9">
        <v>0</v>
      </c>
      <c r="AQ185" s="9">
        <v>0</v>
      </c>
      <c r="AR185" s="9">
        <v>0</v>
      </c>
      <c r="AS185" s="9">
        <v>0</v>
      </c>
      <c r="AT185" s="9">
        <v>0</v>
      </c>
      <c r="AU185" s="9">
        <v>0</v>
      </c>
      <c r="AV185" s="9">
        <v>0</v>
      </c>
      <c r="AW185" s="9">
        <v>0</v>
      </c>
      <c r="AX185" s="9">
        <v>0</v>
      </c>
      <c r="AY185" s="9">
        <v>0</v>
      </c>
      <c r="AZ185" s="14">
        <f t="shared" si="6"/>
        <v>955.2446</v>
      </c>
    </row>
    <row r="186" spans="1:52">
      <c r="A186" s="9" t="s">
        <v>33</v>
      </c>
      <c r="B186" s="9" t="s">
        <v>212</v>
      </c>
      <c r="C186" s="9" t="s">
        <v>224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9.2487</v>
      </c>
      <c r="M186" s="9">
        <v>27.7461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9">
        <v>0</v>
      </c>
      <c r="AE186" s="9">
        <v>0</v>
      </c>
      <c r="AF186" s="9">
        <v>0</v>
      </c>
      <c r="AG186" s="9">
        <v>0</v>
      </c>
      <c r="AH186" s="9">
        <v>0</v>
      </c>
      <c r="AI186" s="9">
        <v>0</v>
      </c>
      <c r="AJ186" s="9">
        <v>0</v>
      </c>
      <c r="AK186" s="9">
        <v>0</v>
      </c>
      <c r="AL186" s="9">
        <v>0</v>
      </c>
      <c r="AM186" s="9">
        <v>0</v>
      </c>
      <c r="AN186" s="9">
        <v>0</v>
      </c>
      <c r="AO186" s="9">
        <v>0</v>
      </c>
      <c r="AP186" s="9">
        <v>0</v>
      </c>
      <c r="AQ186" s="9">
        <v>0</v>
      </c>
      <c r="AR186" s="9">
        <v>0</v>
      </c>
      <c r="AS186" s="9">
        <v>0</v>
      </c>
      <c r="AT186" s="9">
        <v>0</v>
      </c>
      <c r="AU186" s="9">
        <v>0</v>
      </c>
      <c r="AV186" s="9">
        <v>0</v>
      </c>
      <c r="AW186" s="9">
        <v>0</v>
      </c>
      <c r="AX186" s="9">
        <v>0</v>
      </c>
      <c r="AY186" s="9">
        <v>0</v>
      </c>
      <c r="AZ186" s="14">
        <f t="shared" si="6"/>
        <v>27.7461</v>
      </c>
    </row>
    <row r="187" spans="1:52">
      <c r="A187" s="9" t="s">
        <v>33</v>
      </c>
      <c r="B187" s="9" t="s">
        <v>212</v>
      </c>
      <c r="C187" s="9" t="s">
        <v>225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16.9583</v>
      </c>
      <c r="M187" s="9">
        <v>50.875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9">
        <v>0</v>
      </c>
      <c r="AE187" s="9">
        <v>0</v>
      </c>
      <c r="AF187" s="9">
        <v>0</v>
      </c>
      <c r="AG187" s="9">
        <v>0</v>
      </c>
      <c r="AH187" s="9">
        <v>0</v>
      </c>
      <c r="AI187" s="9">
        <v>0</v>
      </c>
      <c r="AJ187" s="9">
        <v>0</v>
      </c>
      <c r="AK187" s="9">
        <v>0</v>
      </c>
      <c r="AL187" s="9">
        <v>0</v>
      </c>
      <c r="AM187" s="9">
        <v>0</v>
      </c>
      <c r="AN187" s="9">
        <v>0</v>
      </c>
      <c r="AO187" s="9">
        <v>0</v>
      </c>
      <c r="AP187" s="9">
        <v>0</v>
      </c>
      <c r="AQ187" s="9">
        <v>0</v>
      </c>
      <c r="AR187" s="9">
        <v>0</v>
      </c>
      <c r="AS187" s="9">
        <v>0</v>
      </c>
      <c r="AT187" s="9">
        <v>0</v>
      </c>
      <c r="AU187" s="9">
        <v>0</v>
      </c>
      <c r="AV187" s="9">
        <v>0</v>
      </c>
      <c r="AW187" s="9">
        <v>0</v>
      </c>
      <c r="AX187" s="9">
        <v>0</v>
      </c>
      <c r="AY187" s="9">
        <v>0</v>
      </c>
      <c r="AZ187" s="14">
        <f t="shared" si="6"/>
        <v>50.875</v>
      </c>
    </row>
    <row r="188" spans="1:52">
      <c r="A188" s="9" t="s">
        <v>33</v>
      </c>
      <c r="B188" s="9" t="s">
        <v>212</v>
      </c>
      <c r="C188" s="9" t="s">
        <v>226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211.4506</v>
      </c>
      <c r="M188" s="9">
        <v>634.3518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</v>
      </c>
      <c r="AC188" s="9">
        <v>0</v>
      </c>
      <c r="AD188" s="9">
        <v>0</v>
      </c>
      <c r="AE188" s="9">
        <v>0</v>
      </c>
      <c r="AF188" s="9">
        <v>0</v>
      </c>
      <c r="AG188" s="9">
        <v>0</v>
      </c>
      <c r="AH188" s="9">
        <v>0</v>
      </c>
      <c r="AI188" s="9">
        <v>0</v>
      </c>
      <c r="AJ188" s="9">
        <v>0</v>
      </c>
      <c r="AK188" s="9">
        <v>0</v>
      </c>
      <c r="AL188" s="9">
        <v>0</v>
      </c>
      <c r="AM188" s="9">
        <v>0</v>
      </c>
      <c r="AN188" s="9">
        <v>0</v>
      </c>
      <c r="AO188" s="9">
        <v>0</v>
      </c>
      <c r="AP188" s="9">
        <v>0</v>
      </c>
      <c r="AQ188" s="9">
        <v>0</v>
      </c>
      <c r="AR188" s="9">
        <v>0</v>
      </c>
      <c r="AS188" s="9">
        <v>0</v>
      </c>
      <c r="AT188" s="9">
        <v>0</v>
      </c>
      <c r="AU188" s="9">
        <v>0</v>
      </c>
      <c r="AV188" s="9">
        <v>0</v>
      </c>
      <c r="AW188" s="9">
        <v>0</v>
      </c>
      <c r="AX188" s="9">
        <v>0</v>
      </c>
      <c r="AY188" s="9">
        <v>0</v>
      </c>
      <c r="AZ188" s="14">
        <f t="shared" si="6"/>
        <v>634.3518</v>
      </c>
    </row>
    <row r="189" spans="1:52">
      <c r="A189" s="9" t="s">
        <v>33</v>
      </c>
      <c r="B189" s="9" t="s">
        <v>212</v>
      </c>
      <c r="C189" s="9" t="s">
        <v>227</v>
      </c>
      <c r="D189" s="9">
        <v>0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0.1401</v>
      </c>
      <c r="K189" s="9">
        <v>55.6184</v>
      </c>
      <c r="L189" s="9">
        <v>15.2768</v>
      </c>
      <c r="M189" s="9">
        <v>45.8305</v>
      </c>
      <c r="N189" s="9">
        <v>0</v>
      </c>
      <c r="O189" s="9">
        <v>0</v>
      </c>
      <c r="P189" s="9">
        <v>10.3303</v>
      </c>
      <c r="Q189" s="9">
        <v>4100.166</v>
      </c>
      <c r="R189" s="9">
        <v>0</v>
      </c>
      <c r="S189" s="9">
        <v>0</v>
      </c>
      <c r="T189" s="9">
        <v>0</v>
      </c>
      <c r="U189" s="9">
        <v>0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0</v>
      </c>
      <c r="AD189" s="9">
        <v>0</v>
      </c>
      <c r="AE189" s="9">
        <v>0</v>
      </c>
      <c r="AF189" s="9">
        <v>0</v>
      </c>
      <c r="AG189" s="9">
        <v>0</v>
      </c>
      <c r="AH189" s="9">
        <v>0</v>
      </c>
      <c r="AI189" s="9">
        <v>0</v>
      </c>
      <c r="AJ189" s="9">
        <v>0</v>
      </c>
      <c r="AK189" s="9">
        <v>0</v>
      </c>
      <c r="AL189" s="9">
        <v>0</v>
      </c>
      <c r="AM189" s="9">
        <v>0</v>
      </c>
      <c r="AN189" s="9">
        <v>0</v>
      </c>
      <c r="AO189" s="9">
        <v>0</v>
      </c>
      <c r="AP189" s="9">
        <v>0</v>
      </c>
      <c r="AQ189" s="9">
        <v>0</v>
      </c>
      <c r="AR189" s="9">
        <v>0</v>
      </c>
      <c r="AS189" s="9">
        <v>0</v>
      </c>
      <c r="AT189" s="9">
        <v>0</v>
      </c>
      <c r="AU189" s="9">
        <v>0</v>
      </c>
      <c r="AV189" s="9">
        <v>0</v>
      </c>
      <c r="AW189" s="9">
        <v>0</v>
      </c>
      <c r="AX189" s="9">
        <v>0</v>
      </c>
      <c r="AY189" s="9">
        <v>0</v>
      </c>
      <c r="AZ189" s="14">
        <f t="shared" si="6"/>
        <v>4201.6149</v>
      </c>
    </row>
    <row r="190" spans="1:52">
      <c r="A190" s="9" t="s">
        <v>33</v>
      </c>
      <c r="B190" s="9" t="s">
        <v>212</v>
      </c>
      <c r="C190" s="9" t="s">
        <v>228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22.9084</v>
      </c>
      <c r="M190" s="9">
        <v>68.7252</v>
      </c>
      <c r="N190" s="9">
        <v>0</v>
      </c>
      <c r="O190" s="9">
        <v>0</v>
      </c>
      <c r="P190" s="9">
        <v>0</v>
      </c>
      <c r="Q190" s="9">
        <v>0</v>
      </c>
      <c r="R190" s="9">
        <v>0</v>
      </c>
      <c r="S190" s="9">
        <v>0</v>
      </c>
      <c r="T190" s="9">
        <v>0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9">
        <v>0</v>
      </c>
      <c r="AC190" s="9">
        <v>0</v>
      </c>
      <c r="AD190" s="9">
        <v>0</v>
      </c>
      <c r="AE190" s="9">
        <v>0</v>
      </c>
      <c r="AF190" s="9">
        <v>0</v>
      </c>
      <c r="AG190" s="9">
        <v>0</v>
      </c>
      <c r="AH190" s="9">
        <v>0</v>
      </c>
      <c r="AI190" s="9">
        <v>0</v>
      </c>
      <c r="AJ190" s="9">
        <v>0</v>
      </c>
      <c r="AK190" s="9">
        <v>0</v>
      </c>
      <c r="AL190" s="9">
        <v>0</v>
      </c>
      <c r="AM190" s="9">
        <v>0</v>
      </c>
      <c r="AN190" s="9">
        <v>0</v>
      </c>
      <c r="AO190" s="9">
        <v>0</v>
      </c>
      <c r="AP190" s="9">
        <v>0</v>
      </c>
      <c r="AQ190" s="9">
        <v>0</v>
      </c>
      <c r="AR190" s="9">
        <v>0</v>
      </c>
      <c r="AS190" s="9">
        <v>0</v>
      </c>
      <c r="AT190" s="9">
        <v>0</v>
      </c>
      <c r="AU190" s="9">
        <v>0</v>
      </c>
      <c r="AV190" s="9">
        <v>0</v>
      </c>
      <c r="AW190" s="9">
        <v>0</v>
      </c>
      <c r="AX190" s="9">
        <v>0</v>
      </c>
      <c r="AY190" s="9">
        <v>0</v>
      </c>
      <c r="AZ190" s="14">
        <f t="shared" si="6"/>
        <v>68.7252</v>
      </c>
    </row>
    <row r="191" spans="1:52">
      <c r="A191" s="9" t="s">
        <v>33</v>
      </c>
      <c r="B191" s="9" t="s">
        <v>212</v>
      </c>
      <c r="C191" s="9" t="s">
        <v>229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35.4009</v>
      </c>
      <c r="M191" s="9">
        <v>106.2028</v>
      </c>
      <c r="N191" s="9">
        <v>0</v>
      </c>
      <c r="O191" s="9">
        <v>0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9">
        <v>0</v>
      </c>
      <c r="AE191" s="9">
        <v>0</v>
      </c>
      <c r="AF191" s="9">
        <v>0</v>
      </c>
      <c r="AG191" s="9">
        <v>0</v>
      </c>
      <c r="AH191" s="9">
        <v>0</v>
      </c>
      <c r="AI191" s="9">
        <v>0</v>
      </c>
      <c r="AJ191" s="9">
        <v>0</v>
      </c>
      <c r="AK191" s="9">
        <v>0</v>
      </c>
      <c r="AL191" s="9">
        <v>0</v>
      </c>
      <c r="AM191" s="9">
        <v>0</v>
      </c>
      <c r="AN191" s="9">
        <v>0</v>
      </c>
      <c r="AO191" s="9">
        <v>0</v>
      </c>
      <c r="AP191" s="9">
        <v>0</v>
      </c>
      <c r="AQ191" s="9">
        <v>0</v>
      </c>
      <c r="AR191" s="9">
        <v>0</v>
      </c>
      <c r="AS191" s="9">
        <v>0</v>
      </c>
      <c r="AT191" s="9">
        <v>0</v>
      </c>
      <c r="AU191" s="9">
        <v>0</v>
      </c>
      <c r="AV191" s="9">
        <v>0</v>
      </c>
      <c r="AW191" s="9">
        <v>0</v>
      </c>
      <c r="AX191" s="9">
        <v>0</v>
      </c>
      <c r="AY191" s="9">
        <v>0</v>
      </c>
      <c r="AZ191" s="14">
        <f t="shared" si="6"/>
        <v>106.2028</v>
      </c>
    </row>
    <row r="192" spans="1:52">
      <c r="A192" s="9" t="s">
        <v>33</v>
      </c>
      <c r="B192" s="9" t="s">
        <v>212</v>
      </c>
      <c r="C192" s="9" t="s">
        <v>230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75.2136</v>
      </c>
      <c r="M192" s="9">
        <v>225.6409</v>
      </c>
      <c r="N192" s="9">
        <v>0</v>
      </c>
      <c r="O192" s="9">
        <v>0</v>
      </c>
      <c r="P192" s="9">
        <v>0</v>
      </c>
      <c r="Q192" s="9">
        <v>0</v>
      </c>
      <c r="R192" s="9">
        <v>0</v>
      </c>
      <c r="S192" s="9">
        <v>0</v>
      </c>
      <c r="T192" s="9">
        <v>0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9">
        <v>0</v>
      </c>
      <c r="AE192" s="9">
        <v>0</v>
      </c>
      <c r="AF192" s="9">
        <v>0</v>
      </c>
      <c r="AG192" s="9">
        <v>0</v>
      </c>
      <c r="AH192" s="9">
        <v>0</v>
      </c>
      <c r="AI192" s="9">
        <v>0</v>
      </c>
      <c r="AJ192" s="9">
        <v>0</v>
      </c>
      <c r="AK192" s="9">
        <v>0</v>
      </c>
      <c r="AL192" s="9">
        <v>0</v>
      </c>
      <c r="AM192" s="9">
        <v>0</v>
      </c>
      <c r="AN192" s="9">
        <v>0</v>
      </c>
      <c r="AO192" s="9">
        <v>0</v>
      </c>
      <c r="AP192" s="9">
        <v>0</v>
      </c>
      <c r="AQ192" s="9">
        <v>0</v>
      </c>
      <c r="AR192" s="9">
        <v>0</v>
      </c>
      <c r="AS192" s="9">
        <v>0</v>
      </c>
      <c r="AT192" s="9">
        <v>0</v>
      </c>
      <c r="AU192" s="9">
        <v>0</v>
      </c>
      <c r="AV192" s="9">
        <v>0</v>
      </c>
      <c r="AW192" s="9">
        <v>0</v>
      </c>
      <c r="AX192" s="9">
        <v>0</v>
      </c>
      <c r="AY192" s="9">
        <v>0</v>
      </c>
      <c r="AZ192" s="14">
        <f t="shared" si="6"/>
        <v>225.6409</v>
      </c>
    </row>
    <row r="193" spans="1:52">
      <c r="A193" s="9" t="s">
        <v>33</v>
      </c>
      <c r="B193" s="9" t="s">
        <v>212</v>
      </c>
      <c r="C193" s="9" t="s">
        <v>231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6.9502</v>
      </c>
      <c r="M193" s="9">
        <v>20.8505</v>
      </c>
      <c r="N193" s="9">
        <v>0</v>
      </c>
      <c r="O193" s="9">
        <v>0</v>
      </c>
      <c r="P193" s="9">
        <v>0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0</v>
      </c>
      <c r="AC193" s="9">
        <v>0</v>
      </c>
      <c r="AD193" s="9">
        <v>0</v>
      </c>
      <c r="AE193" s="9">
        <v>0</v>
      </c>
      <c r="AF193" s="9">
        <v>0</v>
      </c>
      <c r="AG193" s="9">
        <v>0</v>
      </c>
      <c r="AH193" s="9">
        <v>0</v>
      </c>
      <c r="AI193" s="9">
        <v>0</v>
      </c>
      <c r="AJ193" s="9">
        <v>0</v>
      </c>
      <c r="AK193" s="9">
        <v>0</v>
      </c>
      <c r="AL193" s="9">
        <v>0</v>
      </c>
      <c r="AM193" s="9">
        <v>0</v>
      </c>
      <c r="AN193" s="9">
        <v>0</v>
      </c>
      <c r="AO193" s="9">
        <v>0</v>
      </c>
      <c r="AP193" s="9">
        <v>0</v>
      </c>
      <c r="AQ193" s="9">
        <v>0</v>
      </c>
      <c r="AR193" s="9">
        <v>0</v>
      </c>
      <c r="AS193" s="9">
        <v>0</v>
      </c>
      <c r="AT193" s="9">
        <v>0</v>
      </c>
      <c r="AU193" s="9">
        <v>0</v>
      </c>
      <c r="AV193" s="9">
        <v>0</v>
      </c>
      <c r="AW193" s="9">
        <v>0</v>
      </c>
      <c r="AX193" s="9">
        <v>0</v>
      </c>
      <c r="AY193" s="9">
        <v>0</v>
      </c>
      <c r="AZ193" s="14">
        <f t="shared" si="6"/>
        <v>20.8505</v>
      </c>
    </row>
    <row r="194" spans="1:52">
      <c r="A194" s="9" t="s">
        <v>33</v>
      </c>
      <c r="B194" s="9" t="s">
        <v>212</v>
      </c>
      <c r="C194" s="9" t="s">
        <v>232</v>
      </c>
      <c r="D194" s="9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  <c r="O194" s="9">
        <v>0</v>
      </c>
      <c r="P194" s="9">
        <v>0</v>
      </c>
      <c r="Q194" s="9">
        <v>0</v>
      </c>
      <c r="R194" s="9">
        <v>0</v>
      </c>
      <c r="S194" s="9">
        <v>0</v>
      </c>
      <c r="T194" s="9">
        <v>0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9">
        <v>0</v>
      </c>
      <c r="AE194" s="9">
        <v>0</v>
      </c>
      <c r="AF194" s="9">
        <v>0</v>
      </c>
      <c r="AG194" s="9">
        <v>0</v>
      </c>
      <c r="AH194" s="9">
        <v>0</v>
      </c>
      <c r="AI194" s="9">
        <v>0</v>
      </c>
      <c r="AJ194" s="9">
        <v>0</v>
      </c>
      <c r="AK194" s="9">
        <v>0</v>
      </c>
      <c r="AL194" s="9">
        <v>0</v>
      </c>
      <c r="AM194" s="9">
        <v>0</v>
      </c>
      <c r="AN194" s="9">
        <v>0</v>
      </c>
      <c r="AO194" s="9">
        <v>0</v>
      </c>
      <c r="AP194" s="9">
        <v>0</v>
      </c>
      <c r="AQ194" s="9">
        <v>0</v>
      </c>
      <c r="AR194" s="9">
        <v>0</v>
      </c>
      <c r="AS194" s="9">
        <v>0</v>
      </c>
      <c r="AT194" s="9">
        <v>0</v>
      </c>
      <c r="AU194" s="9">
        <v>0</v>
      </c>
      <c r="AV194" s="9">
        <v>0</v>
      </c>
      <c r="AW194" s="9">
        <v>0</v>
      </c>
      <c r="AX194" s="9">
        <v>0</v>
      </c>
      <c r="AY194" s="9">
        <v>0</v>
      </c>
      <c r="AZ194" s="14">
        <f t="shared" si="6"/>
        <v>0</v>
      </c>
    </row>
    <row r="195" spans="1:52">
      <c r="A195" s="9" t="s">
        <v>33</v>
      </c>
      <c r="B195" s="9" t="s">
        <v>212</v>
      </c>
      <c r="C195" s="9" t="s">
        <v>233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0.3775</v>
      </c>
      <c r="K195" s="9">
        <v>149.8161</v>
      </c>
      <c r="L195" s="9">
        <v>24.4398</v>
      </c>
      <c r="M195" s="9">
        <v>73.3195</v>
      </c>
      <c r="N195" s="9">
        <v>0</v>
      </c>
      <c r="O195" s="9">
        <v>0</v>
      </c>
      <c r="P195" s="9">
        <v>0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9">
        <v>0</v>
      </c>
      <c r="AE195" s="9">
        <v>0</v>
      </c>
      <c r="AF195" s="9">
        <v>0</v>
      </c>
      <c r="AG195" s="9">
        <v>0</v>
      </c>
      <c r="AH195" s="9">
        <v>0</v>
      </c>
      <c r="AI195" s="9">
        <v>0</v>
      </c>
      <c r="AJ195" s="9">
        <v>0</v>
      </c>
      <c r="AK195" s="9">
        <v>0</v>
      </c>
      <c r="AL195" s="9">
        <v>0</v>
      </c>
      <c r="AM195" s="9">
        <v>0</v>
      </c>
      <c r="AN195" s="9">
        <v>0</v>
      </c>
      <c r="AO195" s="9">
        <v>0</v>
      </c>
      <c r="AP195" s="9">
        <v>0</v>
      </c>
      <c r="AQ195" s="9">
        <v>0</v>
      </c>
      <c r="AR195" s="9">
        <v>0</v>
      </c>
      <c r="AS195" s="9">
        <v>0</v>
      </c>
      <c r="AT195" s="9">
        <v>0</v>
      </c>
      <c r="AU195" s="9">
        <v>0</v>
      </c>
      <c r="AV195" s="9">
        <v>0</v>
      </c>
      <c r="AW195" s="9">
        <v>0</v>
      </c>
      <c r="AX195" s="9">
        <v>0</v>
      </c>
      <c r="AY195" s="9">
        <v>0</v>
      </c>
      <c r="AZ195" s="14">
        <f t="shared" si="6"/>
        <v>223.1356</v>
      </c>
    </row>
    <row r="196" spans="1:52">
      <c r="A196" s="9" t="s">
        <v>33</v>
      </c>
      <c r="B196" s="9" t="s">
        <v>212</v>
      </c>
      <c r="C196" s="9" t="s">
        <v>234</v>
      </c>
      <c r="D196" s="9">
        <v>0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1.0085</v>
      </c>
      <c r="K196" s="9">
        <v>400.2956</v>
      </c>
      <c r="L196" s="9">
        <v>0</v>
      </c>
      <c r="M196" s="9">
        <v>0</v>
      </c>
      <c r="N196" s="9">
        <v>0</v>
      </c>
      <c r="O196" s="9">
        <v>0</v>
      </c>
      <c r="P196" s="9">
        <v>0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9">
        <v>0</v>
      </c>
      <c r="AE196" s="9">
        <v>0</v>
      </c>
      <c r="AF196" s="9">
        <v>0</v>
      </c>
      <c r="AG196" s="9">
        <v>0</v>
      </c>
      <c r="AH196" s="9">
        <v>0</v>
      </c>
      <c r="AI196" s="9">
        <v>0</v>
      </c>
      <c r="AJ196" s="9">
        <v>0</v>
      </c>
      <c r="AK196" s="9">
        <v>0</v>
      </c>
      <c r="AL196" s="9">
        <v>0</v>
      </c>
      <c r="AM196" s="9">
        <v>0</v>
      </c>
      <c r="AN196" s="9">
        <v>0</v>
      </c>
      <c r="AO196" s="9">
        <v>0</v>
      </c>
      <c r="AP196" s="9">
        <v>0</v>
      </c>
      <c r="AQ196" s="9">
        <v>0</v>
      </c>
      <c r="AR196" s="9">
        <v>0</v>
      </c>
      <c r="AS196" s="9">
        <v>0</v>
      </c>
      <c r="AT196" s="9">
        <v>0</v>
      </c>
      <c r="AU196" s="9">
        <v>0</v>
      </c>
      <c r="AV196" s="9">
        <v>0</v>
      </c>
      <c r="AW196" s="9">
        <v>0</v>
      </c>
      <c r="AX196" s="9">
        <v>0</v>
      </c>
      <c r="AY196" s="9">
        <v>0</v>
      </c>
      <c r="AZ196" s="14">
        <f t="shared" si="6"/>
        <v>400.2956</v>
      </c>
    </row>
    <row r="197" spans="1:52">
      <c r="A197" s="9" t="s">
        <v>33</v>
      </c>
      <c r="B197" s="9" t="s">
        <v>212</v>
      </c>
      <c r="C197" s="9" t="s">
        <v>235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0.2873</v>
      </c>
      <c r="K197" s="9">
        <v>114.0232</v>
      </c>
      <c r="L197" s="9">
        <v>6.9186</v>
      </c>
      <c r="M197" s="9">
        <v>20.7558</v>
      </c>
      <c r="N197" s="9">
        <v>0</v>
      </c>
      <c r="O197" s="9">
        <v>0</v>
      </c>
      <c r="P197" s="9">
        <v>0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 s="9">
        <v>0</v>
      </c>
      <c r="AE197" s="9">
        <v>0</v>
      </c>
      <c r="AF197" s="9">
        <v>0</v>
      </c>
      <c r="AG197" s="9">
        <v>0</v>
      </c>
      <c r="AH197" s="9">
        <v>0</v>
      </c>
      <c r="AI197" s="9">
        <v>0</v>
      </c>
      <c r="AJ197" s="9">
        <v>0</v>
      </c>
      <c r="AK197" s="9">
        <v>0</v>
      </c>
      <c r="AL197" s="9">
        <v>0</v>
      </c>
      <c r="AM197" s="9">
        <v>0</v>
      </c>
      <c r="AN197" s="9">
        <v>0</v>
      </c>
      <c r="AO197" s="9">
        <v>0</v>
      </c>
      <c r="AP197" s="9">
        <v>0</v>
      </c>
      <c r="AQ197" s="9">
        <v>0</v>
      </c>
      <c r="AR197" s="9">
        <v>0</v>
      </c>
      <c r="AS197" s="9">
        <v>0</v>
      </c>
      <c r="AT197" s="9">
        <v>0</v>
      </c>
      <c r="AU197" s="9">
        <v>0</v>
      </c>
      <c r="AV197" s="9">
        <v>0</v>
      </c>
      <c r="AW197" s="9">
        <v>0</v>
      </c>
      <c r="AX197" s="9">
        <v>0</v>
      </c>
      <c r="AY197" s="9">
        <v>0</v>
      </c>
      <c r="AZ197" s="14">
        <f t="shared" si="6"/>
        <v>134.779</v>
      </c>
    </row>
    <row r="198" spans="1:52">
      <c r="A198" s="9" t="s">
        <v>33</v>
      </c>
      <c r="B198" s="9" t="s">
        <v>212</v>
      </c>
      <c r="C198" s="9" t="s">
        <v>236</v>
      </c>
      <c r="D198" s="9">
        <v>0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0.0654</v>
      </c>
      <c r="K198" s="9">
        <v>25.9696</v>
      </c>
      <c r="L198" s="9">
        <v>39.6411</v>
      </c>
      <c r="M198" s="9">
        <v>118.9233</v>
      </c>
      <c r="N198" s="9">
        <v>0</v>
      </c>
      <c r="O198" s="9">
        <v>0</v>
      </c>
      <c r="P198" s="9">
        <v>0</v>
      </c>
      <c r="Q198" s="9">
        <v>0</v>
      </c>
      <c r="R198" s="9">
        <v>0</v>
      </c>
      <c r="S198" s="9">
        <v>0</v>
      </c>
      <c r="T198" s="9">
        <v>0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0</v>
      </c>
      <c r="AD198" s="9">
        <v>0</v>
      </c>
      <c r="AE198" s="9">
        <v>0</v>
      </c>
      <c r="AF198" s="9">
        <v>0</v>
      </c>
      <c r="AG198" s="9">
        <v>0</v>
      </c>
      <c r="AH198" s="9">
        <v>0</v>
      </c>
      <c r="AI198" s="9">
        <v>0</v>
      </c>
      <c r="AJ198" s="9">
        <v>0</v>
      </c>
      <c r="AK198" s="9">
        <v>0</v>
      </c>
      <c r="AL198" s="9">
        <v>0</v>
      </c>
      <c r="AM198" s="9">
        <v>0</v>
      </c>
      <c r="AN198" s="9">
        <v>0</v>
      </c>
      <c r="AO198" s="9">
        <v>0</v>
      </c>
      <c r="AP198" s="9">
        <v>0</v>
      </c>
      <c r="AQ198" s="9">
        <v>0</v>
      </c>
      <c r="AR198" s="9">
        <v>0</v>
      </c>
      <c r="AS198" s="9">
        <v>0</v>
      </c>
      <c r="AT198" s="9">
        <v>0</v>
      </c>
      <c r="AU198" s="9">
        <v>0</v>
      </c>
      <c r="AV198" s="9">
        <v>0</v>
      </c>
      <c r="AW198" s="9">
        <v>0</v>
      </c>
      <c r="AX198" s="9">
        <v>0</v>
      </c>
      <c r="AY198" s="9">
        <v>0</v>
      </c>
      <c r="AZ198" s="14">
        <f>E198+G198+I198+K198+M198+O198+Q198+S198+U198+W198+Y198+AA198+AC198+AE198+AG198+AI198+AK198+AM198+AO198+AQ198+AS198+AU198+AW198+AY198</f>
        <v>144.8929</v>
      </c>
    </row>
    <row r="199" spans="1:52">
      <c r="A199" s="9" t="s">
        <v>33</v>
      </c>
      <c r="B199" s="9" t="s">
        <v>212</v>
      </c>
      <c r="C199" s="9" t="s">
        <v>237</v>
      </c>
      <c r="D199" s="9">
        <v>0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0</v>
      </c>
      <c r="O199" s="9">
        <v>0</v>
      </c>
      <c r="P199" s="9">
        <v>0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9">
        <v>0</v>
      </c>
      <c r="AE199" s="9">
        <v>0</v>
      </c>
      <c r="AF199" s="9">
        <v>0</v>
      </c>
      <c r="AG199" s="9">
        <v>0</v>
      </c>
      <c r="AH199" s="9">
        <v>0</v>
      </c>
      <c r="AI199" s="9">
        <v>0</v>
      </c>
      <c r="AJ199" s="9">
        <v>0</v>
      </c>
      <c r="AK199" s="9">
        <v>0</v>
      </c>
      <c r="AL199" s="9">
        <v>0</v>
      </c>
      <c r="AM199" s="9">
        <v>0</v>
      </c>
      <c r="AN199" s="9">
        <v>0</v>
      </c>
      <c r="AO199" s="9">
        <v>0</v>
      </c>
      <c r="AP199" s="9">
        <v>0</v>
      </c>
      <c r="AQ199" s="9">
        <v>0</v>
      </c>
      <c r="AR199" s="9">
        <v>0</v>
      </c>
      <c r="AS199" s="9">
        <v>0</v>
      </c>
      <c r="AT199" s="9">
        <v>0</v>
      </c>
      <c r="AU199" s="9">
        <v>0</v>
      </c>
      <c r="AV199" s="9">
        <v>0</v>
      </c>
      <c r="AW199" s="9">
        <v>0</v>
      </c>
      <c r="AX199" s="9">
        <v>0</v>
      </c>
      <c r="AY199" s="9">
        <v>0</v>
      </c>
      <c r="AZ199" s="14">
        <f>E199+G199+I199+K199+M199+O199+Q199+S199+U199+W199+Y199+AA199+AC199+AE199+AG199+AI199+AK199+AM199+AO199+AQ199+AS199+AU199+AW199+AY199</f>
        <v>0</v>
      </c>
    </row>
    <row r="200" spans="1:52">
      <c r="A200" s="9" t="s">
        <v>33</v>
      </c>
      <c r="B200" s="9" t="s">
        <v>212</v>
      </c>
      <c r="C200" s="9" t="s">
        <v>238</v>
      </c>
      <c r="D200" s="9">
        <v>0</v>
      </c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9">
        <v>0</v>
      </c>
      <c r="K200" s="9">
        <v>0</v>
      </c>
      <c r="L200" s="9">
        <v>15.3415</v>
      </c>
      <c r="M200" s="9">
        <v>46.0245</v>
      </c>
      <c r="N200" s="9">
        <v>0</v>
      </c>
      <c r="O200" s="9">
        <v>0</v>
      </c>
      <c r="P200" s="9">
        <v>0</v>
      </c>
      <c r="Q200" s="9">
        <v>0</v>
      </c>
      <c r="R200" s="9">
        <v>0</v>
      </c>
      <c r="S200" s="9">
        <v>0</v>
      </c>
      <c r="T200" s="9">
        <v>0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9">
        <v>0</v>
      </c>
      <c r="AE200" s="9">
        <v>0</v>
      </c>
      <c r="AF200" s="9">
        <v>0</v>
      </c>
      <c r="AG200" s="9">
        <v>0</v>
      </c>
      <c r="AH200" s="9">
        <v>0</v>
      </c>
      <c r="AI200" s="9">
        <v>0</v>
      </c>
      <c r="AJ200" s="9">
        <v>0</v>
      </c>
      <c r="AK200" s="9">
        <v>0</v>
      </c>
      <c r="AL200" s="9">
        <v>0</v>
      </c>
      <c r="AM200" s="9">
        <v>0</v>
      </c>
      <c r="AN200" s="9">
        <v>0</v>
      </c>
      <c r="AO200" s="9">
        <v>0</v>
      </c>
      <c r="AP200" s="9">
        <v>0</v>
      </c>
      <c r="AQ200" s="9">
        <v>0</v>
      </c>
      <c r="AR200" s="9">
        <v>0</v>
      </c>
      <c r="AS200" s="9">
        <v>0</v>
      </c>
      <c r="AT200" s="9">
        <v>0</v>
      </c>
      <c r="AU200" s="9">
        <v>0</v>
      </c>
      <c r="AV200" s="9">
        <v>0</v>
      </c>
      <c r="AW200" s="9">
        <v>0</v>
      </c>
      <c r="AX200" s="9">
        <v>0</v>
      </c>
      <c r="AY200" s="9">
        <v>0</v>
      </c>
      <c r="AZ200" s="14">
        <f>E200+G200+I200+K200+M200+O200+Q200+S200+U200+W200+Y200+AA200+AC200+AE200+AG200+AI200+AK200+AM200+AO200+AQ200+AS200+AU200+AW200+AY200</f>
        <v>46.0245</v>
      </c>
    </row>
    <row r="201" spans="1:52">
      <c r="A201" s="9" t="s">
        <v>33</v>
      </c>
      <c r="B201" s="9" t="s">
        <v>212</v>
      </c>
      <c r="C201" s="9" t="s">
        <v>239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515.4052</v>
      </c>
      <c r="M201" s="9">
        <v>1546.2156</v>
      </c>
      <c r="N201" s="9">
        <v>0</v>
      </c>
      <c r="O201" s="9">
        <v>0</v>
      </c>
      <c r="P201" s="9">
        <v>0.0572</v>
      </c>
      <c r="Q201" s="9">
        <v>22.7153</v>
      </c>
      <c r="R201" s="9">
        <v>0</v>
      </c>
      <c r="S201" s="9">
        <v>0</v>
      </c>
      <c r="T201" s="9">
        <v>0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0</v>
      </c>
      <c r="AD201" s="9">
        <v>0</v>
      </c>
      <c r="AE201" s="9">
        <v>0</v>
      </c>
      <c r="AF201" s="9">
        <v>0</v>
      </c>
      <c r="AG201" s="9">
        <v>0</v>
      </c>
      <c r="AH201" s="9">
        <v>0</v>
      </c>
      <c r="AI201" s="9">
        <v>0</v>
      </c>
      <c r="AJ201" s="9">
        <v>0</v>
      </c>
      <c r="AK201" s="9">
        <v>0</v>
      </c>
      <c r="AL201" s="9">
        <v>0</v>
      </c>
      <c r="AM201" s="9">
        <v>0</v>
      </c>
      <c r="AN201" s="9">
        <v>0</v>
      </c>
      <c r="AO201" s="9">
        <v>0</v>
      </c>
      <c r="AP201" s="9">
        <v>0</v>
      </c>
      <c r="AQ201" s="9">
        <v>0</v>
      </c>
      <c r="AR201" s="9">
        <v>0</v>
      </c>
      <c r="AS201" s="9">
        <v>0</v>
      </c>
      <c r="AT201" s="9">
        <v>0</v>
      </c>
      <c r="AU201" s="9">
        <v>0</v>
      </c>
      <c r="AV201" s="9">
        <v>0</v>
      </c>
      <c r="AW201" s="9">
        <v>0</v>
      </c>
      <c r="AX201" s="9">
        <v>0</v>
      </c>
      <c r="AY201" s="9">
        <v>0</v>
      </c>
      <c r="AZ201" s="14">
        <f>E201+G201+I201+K201+M201+O201+Q201+S201+U201+W201+Y201+AA201+AC201+AE201+AG201+AI201+AK201+AM201+AO201+AQ201+AS201+AU201+AW201+AY201</f>
        <v>1568.9309</v>
      </c>
    </row>
  </sheetData>
  <mergeCells count="25">
    <mergeCell ref="A1:AZ1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</mergeCells>
  <pageMargins left="0.699305555555556" right="0.699305555555556" top="0.75" bottom="0.75" header="0.3" footer="0.3"/>
  <headerFooter/>
  <ignoredErrors>
    <ignoredError sqref="Y3 AD2:AI2 C2:E2 E3 AE3 AG3 AI3 AM3 AO3 AQ3 X2:Y2 AK2 AM2:AO2 AQ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hesheng164</cp:lastModifiedBy>
  <dcterms:created xsi:type="dcterms:W3CDTF">2022-09-28T07:08:00Z</dcterms:created>
  <dcterms:modified xsi:type="dcterms:W3CDTF">2026-08-31T09:39:43Z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B28D0590C3574E03A353F007DC77D041</vt:lpwstr>
  </property>
  <property fmtid="{D5CDD505-2E9C-101B-9397-08002B2CF9AE}" pid="3" name="KSOProductBuildVer">
    <vt:lpwstr>2052-11.8.2.12089</vt:lpwstr>
  </property>
</Properties>
</file>