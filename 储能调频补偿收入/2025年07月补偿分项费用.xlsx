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<sst xmlns="http://schemas.openxmlformats.org/spreadsheetml/2006/main" count="214">
  <si>
    <t>2025年07月补偿分项费用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</si>
  <si>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</si>
  <si>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</si>
  <si>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</si>
  <si>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</si>
  <si>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</si>
  <si>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</si>
  <si>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</si>
  <si>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</si>
  <si>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</si>
  <si>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</si>
  <si>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</si>
  <si>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</si>
  <si>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</si>
  <si>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</si>
  <si>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</si>
  <si>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</si>
  <si>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</si>
  <si>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</si>
  <si>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</si>
  <si>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</si>
  <si>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</si>
  <si>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</si>
  <si>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</si>
  <si>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</si>
  <si>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</si>
  <si>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</si>
  <si>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</si>
  <si>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</si>
  <si>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</si>
  <si>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</si>
  <si>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</si>
  <si>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</si>
  <si>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</si>
  <si>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</si>
  <si>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</si>
  <si>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</si>
  <si>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</si>
  <si>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</si>
  <si>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</si>
  <si>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</si>
  <si>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</si>
  <si>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</si>
  <si>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</si>
  <si>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</si>
  <si>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</si>
  <si>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</si>
  <si>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</si>
  <si>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</si>
  <si>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</si>
  <si>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</si>
  <si>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</si>
  <si>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</si>
  <si>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</si>
  <si>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</si>
  <si>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</si>
  <si>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</si>
  <si>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</si>
  <si>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</si>
  <si>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</si>
  <si>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</si>
  <si>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</si>
  <si>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</si>
  <si>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</si>
  <si>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抽水蓄能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</si>
  <si>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</si>
  <si>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</si>
  <si>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</si>
  <si>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</si>
  <si>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</si>
  <si>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</si>
  <si>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</si>
  <si>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</si>
  <si>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</si>
  <si>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</si>
  <si>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</si>
  <si>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</si>
  <si>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</si>
  <si>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</si>
  <si>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</si>
  <si>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</si>
  <si>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</si>
  <si>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</si>
  <si>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唐绍厂</t>
  </si>
  <si>
    <t>桐燃厂</t>
  </si>
  <si>
    <t>下沙厂</t>
  </si>
  <si>
    <t>萧燃厂</t>
  </si>
  <si>
    <t>新城厂</t>
  </si>
  <si>
    <t>新泓口</t>
  </si>
  <si>
    <t>浔宝厂</t>
  </si>
  <si>
    <t>220kV镇海发电厂</t>
  </si>
  <si>
    <t>光伏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</si>
  <si>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</si>
  <si>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</si>
  <si>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</si>
  <si>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</si>
  <si>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</si>
  <si>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</si>
  <si>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</si>
  <si>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</si>
  <si>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</si>
  <si>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</si>
  <si>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</si>
  <si>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</si>
  <si>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</si>
  <si>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亨泰站</t>
  </si>
  <si>
    <t>宏塔站</t>
  </si>
  <si>
    <t>华博站</t>
  </si>
  <si>
    <t>华塘站</t>
  </si>
  <si>
    <t>华洋光伏站</t>
  </si>
  <si>
    <t>汇核站</t>
  </si>
  <si>
    <t>汇能站</t>
  </si>
  <si>
    <t>嘉厂站</t>
  </si>
  <si>
    <t>佳源站</t>
  </si>
  <si>
    <t>江泰站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</si>
  <si>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</si>
  <si>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</si>
  <si>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</si>
  <si>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</si>
  <si>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</si>
  <si>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</si>
  <si>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</si>
  <si>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</si>
  <si>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</si>
  <si>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</si>
  <si>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</si>
  <si>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</si>
  <si>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</si>
  <si>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</si>
  <si>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</si>
  <si>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</si>
  <si>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</si>
  <si>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</si>
  <si>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</si>
  <si>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</si>
  <si>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</si>
  <si>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</si>
  <si>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</si>
  <si>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</si>
  <si>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</si>
  <si>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</si>
  <si>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</si>
  <si>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唐景站</t>
  </si>
  <si>
    <t>唐屿站</t>
  </si>
  <si>
    <t>唐源站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</si>
  <si>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</si>
  <si>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</si>
  <si>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</si>
  <si>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</si>
  <si>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</si>
  <si>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</si>
  <si>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</si>
  <si>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</si>
  <si>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</si>
  <si>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</si>
  <si>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</si>
  <si>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</si>
  <si>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</si>
  <si>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</si>
  <si>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</si>
  <si>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</si>
  <si>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</si>
  <si>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</si>
  <si>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</si>
  <si>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</si>
  <si>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瓯泰站</t>
  </si>
  <si>
    <t>蛟禾站</t>
  </si>
  <si>
    <t>风电</t>
  </si>
  <si>
    <t>百花场</t>
  </si>
  <si>
    <t>苍海场</t>
  </si>
  <si>
    <t>鼎峰场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</si>
  <si>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</si>
  <si>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</si>
  <si>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</si>
  <si>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</si>
  <si>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</si>
  <si>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</si>
  <si>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</si>
  <si>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</si>
  <si>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</si>
  <si>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</si>
  <si>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</si>
  <si>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</si>
  <si>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</si>
  <si>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</si>
  <si>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电化学储能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</si>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</sst>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1" borderId="6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2" borderId="7" applyNumberFormat="0" applyAlignment="0" applyProtection="0">
      <alignment vertical="center"/>
    </xf>
    <xf numFmtId="0" fontId="1" fillId="2" borderId="3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5"/>
  <sheetViews>
    <sheetView tabSelected="1" workbookViewId="0">
      <selection activeCell="E14" sqref="E1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4" t="s">
        <v>4</v>
      </c>
      <c r="H2" s="5" t="s">
        <v>5</v>
      </c>
      <c r="I2" s="4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247289.7868</v>
      </c>
      <c r="E4" s="6">
        <v>10567812.557373</v>
      </c>
      <c r="F4" s="6">
        <v>0</v>
      </c>
      <c r="G4" s="6">
        <v>8995952.4277401</v>
      </c>
      <c r="H4" s="6">
        <v>17614660.109</v>
      </c>
      <c r="I4" s="6">
        <v>3672685.78</v>
      </c>
      <c r="J4" s="6">
        <v>20393932.7146454</v>
      </c>
      <c r="K4" s="6">
        <v>40310556.0158081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>
        <f>SUM(R5:R185)</f>
        <v>102082889.391367</v>
      </c>
    </row>
    <row r="5" spans="1:18">
      <c r="A5" s="3" t="s">
        <v>24</v>
      </c>
      <c r="B5" s="3" t="s">
        <v>25</v>
      </c>
      <c r="C5" s="3" t="s">
        <v>26</v>
      </c>
      <c r="D5" s="6">
        <v>9709.8294</v>
      </c>
      <c r="E5" s="6">
        <v>0</v>
      </c>
      <c r="F5" s="6">
        <v>0</v>
      </c>
      <c r="G5" s="6">
        <v>358565.59375</v>
      </c>
      <c r="H5" s="6">
        <v>0</v>
      </c>
      <c r="I5" s="6">
        <v>0</v>
      </c>
      <c r="J5" s="6">
        <v>560613.875</v>
      </c>
      <c r="K5" s="6">
        <v>1592947.5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2521836.79815</v>
      </c>
    </row>
    <row r="6" spans="1:18">
      <c r="A6" s="3" t="s">
        <v>24</v>
      </c>
      <c r="B6" s="3" t="s">
        <v>25</v>
      </c>
      <c r="C6" s="3" t="s">
        <v>27</v>
      </c>
      <c r="D6" s="6">
        <v>7148.2848</v>
      </c>
      <c r="E6" s="6">
        <v>0</v>
      </c>
      <c r="F6" s="6">
        <v>0</v>
      </c>
      <c r="G6" s="6">
        <v>261318.796875</v>
      </c>
      <c r="H6" s="6">
        <v>0</v>
      </c>
      <c r="I6" s="6">
        <v>287.25</v>
      </c>
      <c r="J6" s="6">
        <v>397438.65625</v>
      </c>
      <c r="K6" s="6">
        <v>1157285.5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37" si="0">SUM(D6:Q6)</f>
        <v>1823478.487925</v>
      </c>
    </row>
    <row r="7" spans="1:18">
      <c r="A7" s="3" t="s">
        <v>24</v>
      </c>
      <c r="B7" s="3" t="s">
        <v>25</v>
      </c>
      <c r="C7" s="3" t="s">
        <v>28</v>
      </c>
      <c r="D7" s="6">
        <v>11469.4986</v>
      </c>
      <c r="E7" s="6">
        <v>0</v>
      </c>
      <c r="F7" s="6">
        <v>0</v>
      </c>
      <c r="G7" s="6">
        <v>84614.796875</v>
      </c>
      <c r="H7" s="6">
        <v>0</v>
      </c>
      <c r="I7" s="6">
        <v>0</v>
      </c>
      <c r="J7" s="6">
        <v>585459</v>
      </c>
      <c r="K7" s="6">
        <v>977683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1659226.295475</v>
      </c>
    </row>
    <row r="8" spans="1:18">
      <c r="A8" s="3" t="s">
        <v>24</v>
      </c>
      <c r="B8" s="3" t="s">
        <v>25</v>
      </c>
      <c r="C8" s="3" t="s">
        <v>29</v>
      </c>
      <c r="D8" s="6">
        <v>2096.6857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408323.5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410420.1857</v>
      </c>
    </row>
    <row r="9" spans="1:18">
      <c r="A9" s="3" t="s">
        <v>24</v>
      </c>
      <c r="B9" s="3" t="s">
        <v>25</v>
      </c>
      <c r="C9" s="3" t="s">
        <v>30</v>
      </c>
      <c r="D9" s="6">
        <v>693.0724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553352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554045.0724</v>
      </c>
    </row>
    <row r="10" spans="1:18">
      <c r="A10" s="3" t="s">
        <v>24</v>
      </c>
      <c r="B10" s="3" t="s">
        <v>25</v>
      </c>
      <c r="C10" s="3" t="s">
        <v>31</v>
      </c>
      <c r="D10" s="6">
        <v>7304.2328</v>
      </c>
      <c r="E10" s="6">
        <v>0</v>
      </c>
      <c r="F10" s="6">
        <v>0</v>
      </c>
      <c r="G10" s="6">
        <v>0</v>
      </c>
      <c r="H10" s="6">
        <v>0</v>
      </c>
      <c r="I10" s="6">
        <v>36.15</v>
      </c>
      <c r="J10" s="6">
        <v>746709.625</v>
      </c>
      <c r="K10" s="6">
        <v>1305825.5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2059875.5078</v>
      </c>
    </row>
    <row r="11" spans="1:18">
      <c r="A11" s="3" t="s">
        <v>24</v>
      </c>
      <c r="B11" s="3" t="s">
        <v>25</v>
      </c>
      <c r="C11" s="3" t="s">
        <v>32</v>
      </c>
      <c r="D11" s="6">
        <v>3962.8378</v>
      </c>
      <c r="E11" s="6">
        <v>0</v>
      </c>
      <c r="F11" s="6">
        <v>0</v>
      </c>
      <c r="G11" s="6">
        <v>84137.203125</v>
      </c>
      <c r="H11" s="6">
        <v>0</v>
      </c>
      <c r="I11" s="6">
        <v>193873.8</v>
      </c>
      <c r="J11" s="6">
        <v>257782.5</v>
      </c>
      <c r="K11" s="6">
        <v>1264405.5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1804161.840925</v>
      </c>
    </row>
    <row r="12" spans="1:18">
      <c r="A12" s="3" t="s">
        <v>24</v>
      </c>
      <c r="B12" s="3" t="s">
        <v>25</v>
      </c>
      <c r="C12" s="3" t="s">
        <v>33</v>
      </c>
      <c r="D12" s="6">
        <v>7813.1676</v>
      </c>
      <c r="E12" s="6">
        <v>0</v>
      </c>
      <c r="F12" s="6">
        <v>0</v>
      </c>
      <c r="G12" s="6">
        <v>299745.1875</v>
      </c>
      <c r="H12" s="6">
        <v>0</v>
      </c>
      <c r="I12" s="6">
        <v>1135.35</v>
      </c>
      <c r="J12" s="6">
        <v>443746.0625</v>
      </c>
      <c r="K12" s="6">
        <v>1069379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1821818.7676</v>
      </c>
    </row>
    <row r="13" spans="1:18">
      <c r="A13" s="3" t="s">
        <v>24</v>
      </c>
      <c r="B13" s="3" t="s">
        <v>25</v>
      </c>
      <c r="C13" s="3" t="s">
        <v>34</v>
      </c>
      <c r="D13" s="6">
        <v>6153.6412</v>
      </c>
      <c r="E13" s="6">
        <v>0</v>
      </c>
      <c r="F13" s="6">
        <v>0</v>
      </c>
      <c r="G13" s="6">
        <v>202131.203125</v>
      </c>
      <c r="H13" s="6">
        <v>0</v>
      </c>
      <c r="I13" s="6">
        <v>0</v>
      </c>
      <c r="J13" s="6">
        <v>0</v>
      </c>
      <c r="K13" s="6">
        <v>597765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806049.844325</v>
      </c>
    </row>
    <row r="14" spans="1:18">
      <c r="A14" s="3" t="s">
        <v>24</v>
      </c>
      <c r="B14" s="3" t="s">
        <v>25</v>
      </c>
      <c r="C14" s="3" t="s">
        <v>35</v>
      </c>
      <c r="D14" s="6">
        <v>6575.3429</v>
      </c>
      <c r="E14" s="6">
        <v>0</v>
      </c>
      <c r="F14" s="6">
        <v>0</v>
      </c>
      <c r="G14" s="6">
        <v>66406</v>
      </c>
      <c r="H14" s="6">
        <v>0</v>
      </c>
      <c r="I14" s="6">
        <v>0</v>
      </c>
      <c r="J14" s="6">
        <v>743920</v>
      </c>
      <c r="K14" s="6">
        <v>1028138.5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1845039.8429</v>
      </c>
    </row>
    <row r="15" spans="1:18">
      <c r="A15" s="3" t="s">
        <v>24</v>
      </c>
      <c r="B15" s="3" t="s">
        <v>25</v>
      </c>
      <c r="C15" s="3" t="s">
        <v>36</v>
      </c>
      <c r="D15" s="6">
        <v>21318.5102</v>
      </c>
      <c r="E15" s="6">
        <v>0</v>
      </c>
      <c r="F15" s="6">
        <v>0</v>
      </c>
      <c r="G15" s="6">
        <v>787187.625</v>
      </c>
      <c r="H15" s="6">
        <v>0</v>
      </c>
      <c r="I15" s="6">
        <v>97.65</v>
      </c>
      <c r="J15" s="6">
        <v>1722521.25</v>
      </c>
      <c r="K15" s="6">
        <v>3886294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6417419.0352</v>
      </c>
    </row>
    <row r="16" spans="1:18">
      <c r="A16" s="3" t="s">
        <v>24</v>
      </c>
      <c r="B16" s="3" t="s">
        <v>25</v>
      </c>
      <c r="C16" s="3" t="s">
        <v>37</v>
      </c>
      <c r="D16" s="6">
        <v>3846.8845</v>
      </c>
      <c r="E16" s="6">
        <v>0</v>
      </c>
      <c r="F16" s="6">
        <v>0</v>
      </c>
      <c r="G16" s="6">
        <v>520877.59375</v>
      </c>
      <c r="H16" s="6">
        <v>0</v>
      </c>
      <c r="I16" s="6">
        <v>2655.75</v>
      </c>
      <c r="J16" s="6">
        <v>245079.453125</v>
      </c>
      <c r="K16" s="6">
        <v>541684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1314143.681375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189634.2</v>
      </c>
      <c r="J17" s="6">
        <v>0</v>
      </c>
      <c r="K17" s="6">
        <v>167597.5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357231.7</v>
      </c>
    </row>
    <row r="18" spans="1:18">
      <c r="A18" s="3" t="s">
        <v>24</v>
      </c>
      <c r="B18" s="3" t="s">
        <v>25</v>
      </c>
      <c r="C18" s="3" t="s">
        <v>39</v>
      </c>
      <c r="D18" s="6">
        <v>9029.3048</v>
      </c>
      <c r="E18" s="6">
        <v>0</v>
      </c>
      <c r="F18" s="6">
        <v>0</v>
      </c>
      <c r="G18" s="6">
        <v>782711.625</v>
      </c>
      <c r="H18" s="6">
        <v>0</v>
      </c>
      <c r="I18" s="6">
        <v>13054.8</v>
      </c>
      <c r="J18" s="6">
        <v>951436.1875</v>
      </c>
      <c r="K18" s="6">
        <v>2560523.5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4316755.4173</v>
      </c>
    </row>
    <row r="19" spans="1:18">
      <c r="A19" s="3" t="s">
        <v>24</v>
      </c>
      <c r="B19" s="3" t="s">
        <v>25</v>
      </c>
      <c r="C19" s="3" t="s">
        <v>40</v>
      </c>
      <c r="D19" s="6">
        <v>2752.4704</v>
      </c>
      <c r="E19" s="6">
        <v>0</v>
      </c>
      <c r="F19" s="6">
        <v>0</v>
      </c>
      <c r="G19" s="6">
        <v>129370.796875</v>
      </c>
      <c r="H19" s="6">
        <v>0</v>
      </c>
      <c r="I19" s="6">
        <v>6456.75</v>
      </c>
      <c r="J19" s="6">
        <v>232132.953125</v>
      </c>
      <c r="K19" s="6">
        <v>450336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821048.9704</v>
      </c>
    </row>
    <row r="20" spans="1:18">
      <c r="A20" s="3" t="s">
        <v>24</v>
      </c>
      <c r="B20" s="3" t="s">
        <v>25</v>
      </c>
      <c r="C20" s="3" t="s">
        <v>41</v>
      </c>
      <c r="D20" s="6">
        <v>1721.6986</v>
      </c>
      <c r="E20" s="6">
        <v>0</v>
      </c>
      <c r="F20" s="6">
        <v>0</v>
      </c>
      <c r="G20" s="6">
        <v>81081.203125</v>
      </c>
      <c r="H20" s="6">
        <v>0</v>
      </c>
      <c r="I20" s="6">
        <v>152.1</v>
      </c>
      <c r="J20" s="6">
        <v>485265</v>
      </c>
      <c r="K20" s="6">
        <v>689026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1257246.001725</v>
      </c>
    </row>
    <row r="21" spans="1:18">
      <c r="A21" s="3" t="s">
        <v>24</v>
      </c>
      <c r="B21" s="3" t="s">
        <v>25</v>
      </c>
      <c r="C21" s="3" t="s">
        <v>42</v>
      </c>
      <c r="D21" s="6">
        <v>12128.291</v>
      </c>
      <c r="E21" s="6">
        <v>0</v>
      </c>
      <c r="F21" s="6">
        <v>0</v>
      </c>
      <c r="G21" s="6">
        <v>600868</v>
      </c>
      <c r="H21" s="6">
        <v>0</v>
      </c>
      <c r="I21" s="6">
        <v>0</v>
      </c>
      <c r="J21" s="6">
        <v>981066.875</v>
      </c>
      <c r="K21" s="6">
        <v>2127548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3721611.166</v>
      </c>
    </row>
    <row r="22" spans="1:18">
      <c r="A22" s="3" t="s">
        <v>24</v>
      </c>
      <c r="B22" s="3" t="s">
        <v>25</v>
      </c>
      <c r="C22" s="3" t="s">
        <v>43</v>
      </c>
      <c r="D22" s="6">
        <v>10789.6481</v>
      </c>
      <c r="E22" s="6">
        <v>0</v>
      </c>
      <c r="F22" s="6">
        <v>0</v>
      </c>
      <c r="G22" s="6">
        <v>307664.8125</v>
      </c>
      <c r="H22" s="6">
        <v>0</v>
      </c>
      <c r="I22" s="6">
        <v>0</v>
      </c>
      <c r="J22" s="6">
        <v>1505987.75</v>
      </c>
      <c r="K22" s="6">
        <v>2541347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4365789.2106</v>
      </c>
    </row>
    <row r="23" spans="1:18">
      <c r="A23" s="3" t="s">
        <v>24</v>
      </c>
      <c r="B23" s="3" t="s">
        <v>25</v>
      </c>
      <c r="C23" s="3" t="s">
        <v>44</v>
      </c>
      <c r="D23" s="6">
        <v>13004.2254</v>
      </c>
      <c r="E23" s="6">
        <v>0</v>
      </c>
      <c r="F23" s="6">
        <v>0</v>
      </c>
      <c r="G23" s="6">
        <v>235311.59375</v>
      </c>
      <c r="H23" s="6">
        <v>0</v>
      </c>
      <c r="I23" s="6">
        <v>0</v>
      </c>
      <c r="J23" s="6">
        <v>779236.5</v>
      </c>
      <c r="K23" s="6">
        <v>1258428.5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2285980.81915</v>
      </c>
    </row>
    <row r="24" spans="1:18">
      <c r="A24" s="3" t="s">
        <v>24</v>
      </c>
      <c r="B24" s="3" t="s">
        <v>25</v>
      </c>
      <c r="C24" s="3" t="s">
        <v>45</v>
      </c>
      <c r="D24" s="6">
        <v>15479.7206</v>
      </c>
      <c r="E24" s="6">
        <v>0</v>
      </c>
      <c r="F24" s="6">
        <v>0</v>
      </c>
      <c r="G24" s="6">
        <v>697641.1875</v>
      </c>
      <c r="H24" s="6">
        <v>0</v>
      </c>
      <c r="I24" s="6">
        <v>19.65</v>
      </c>
      <c r="J24" s="6">
        <v>871428.625</v>
      </c>
      <c r="K24" s="6">
        <v>1412012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2996581.1831</v>
      </c>
    </row>
    <row r="25" spans="1:18">
      <c r="A25" s="3" t="s">
        <v>24</v>
      </c>
      <c r="B25" s="3" t="s">
        <v>25</v>
      </c>
      <c r="C25" s="3" t="s">
        <v>46</v>
      </c>
      <c r="D25" s="6">
        <v>8130.7769</v>
      </c>
      <c r="E25" s="6">
        <v>0</v>
      </c>
      <c r="F25" s="6">
        <v>0</v>
      </c>
      <c r="G25" s="6">
        <v>354136.40625</v>
      </c>
      <c r="H25" s="6">
        <v>0</v>
      </c>
      <c r="I25" s="6">
        <v>0</v>
      </c>
      <c r="J25" s="6">
        <v>782556.8125</v>
      </c>
      <c r="K25" s="6">
        <v>1133010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2277833.99565</v>
      </c>
    </row>
    <row r="26" spans="1:18">
      <c r="A26" s="3" t="s">
        <v>24</v>
      </c>
      <c r="B26" s="3" t="s">
        <v>25</v>
      </c>
      <c r="C26" s="3" t="s">
        <v>47</v>
      </c>
      <c r="D26" s="6">
        <v>323.9582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460536.5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460860.4582</v>
      </c>
    </row>
    <row r="27" spans="1:18">
      <c r="A27" s="3" t="s">
        <v>24</v>
      </c>
      <c r="B27" s="3" t="s">
        <v>25</v>
      </c>
      <c r="C27" s="3" t="s">
        <v>48</v>
      </c>
      <c r="D27" s="6">
        <v>7062.3752</v>
      </c>
      <c r="E27" s="6">
        <v>0</v>
      </c>
      <c r="F27" s="6">
        <v>0</v>
      </c>
      <c r="G27" s="6">
        <v>217468</v>
      </c>
      <c r="H27" s="6">
        <v>0</v>
      </c>
      <c r="I27" s="6">
        <v>2432.4</v>
      </c>
      <c r="J27" s="6">
        <v>498874.0625</v>
      </c>
      <c r="K27" s="6">
        <v>1465845.5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2191682.3377</v>
      </c>
    </row>
    <row r="28" spans="1:18">
      <c r="A28" s="3" t="s">
        <v>24</v>
      </c>
      <c r="B28" s="3" t="s">
        <v>25</v>
      </c>
      <c r="C28" s="3" t="s">
        <v>49</v>
      </c>
      <c r="D28" s="6">
        <v>2953.9964</v>
      </c>
      <c r="E28" s="6">
        <v>0</v>
      </c>
      <c r="F28" s="6">
        <v>0</v>
      </c>
      <c r="G28" s="6">
        <v>142653.59375</v>
      </c>
      <c r="H28" s="6">
        <v>0</v>
      </c>
      <c r="I28" s="6">
        <v>4784.7</v>
      </c>
      <c r="J28" s="6">
        <v>243815.546875</v>
      </c>
      <c r="K28" s="6">
        <v>507761.5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901969.337025</v>
      </c>
    </row>
    <row r="29" spans="1:18">
      <c r="A29" s="3" t="s">
        <v>24</v>
      </c>
      <c r="B29" s="3" t="s">
        <v>25</v>
      </c>
      <c r="C29" s="3" t="s">
        <v>50</v>
      </c>
      <c r="D29" s="6">
        <v>5048.448</v>
      </c>
      <c r="E29" s="6">
        <v>0</v>
      </c>
      <c r="F29" s="6">
        <v>0</v>
      </c>
      <c r="G29" s="6">
        <v>182920</v>
      </c>
      <c r="H29" s="6">
        <v>0</v>
      </c>
      <c r="I29" s="6">
        <v>358.65</v>
      </c>
      <c r="J29" s="6">
        <v>488753.09375</v>
      </c>
      <c r="K29" s="6">
        <v>967012.5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1644092.69175</v>
      </c>
    </row>
    <row r="30" spans="1:18">
      <c r="A30" s="3" t="s">
        <v>24</v>
      </c>
      <c r="B30" s="3" t="s">
        <v>25</v>
      </c>
      <c r="C30" s="3" t="s">
        <v>51</v>
      </c>
      <c r="D30" s="6">
        <v>2702.7455</v>
      </c>
      <c r="E30" s="6">
        <v>0</v>
      </c>
      <c r="F30" s="6">
        <v>0</v>
      </c>
      <c r="G30" s="6">
        <v>108139.203125</v>
      </c>
      <c r="H30" s="6">
        <v>0</v>
      </c>
      <c r="I30" s="6">
        <v>2800.8</v>
      </c>
      <c r="J30" s="6">
        <v>245520</v>
      </c>
      <c r="K30" s="6">
        <v>551335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910497.748625</v>
      </c>
    </row>
    <row r="31" spans="1:18">
      <c r="A31" s="3" t="s">
        <v>24</v>
      </c>
      <c r="B31" s="3" t="s">
        <v>25</v>
      </c>
      <c r="C31" s="3" t="s">
        <v>52</v>
      </c>
      <c r="D31" s="6">
        <v>10317.486</v>
      </c>
      <c r="E31" s="6">
        <v>0</v>
      </c>
      <c r="F31" s="6">
        <v>0</v>
      </c>
      <c r="G31" s="6">
        <v>625194</v>
      </c>
      <c r="H31" s="6">
        <v>0</v>
      </c>
      <c r="I31" s="6">
        <v>0</v>
      </c>
      <c r="J31" s="6">
        <v>965835</v>
      </c>
      <c r="K31" s="6">
        <v>2464557.5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4065903.986</v>
      </c>
    </row>
    <row r="32" spans="1:18">
      <c r="A32" s="3" t="s">
        <v>24</v>
      </c>
      <c r="B32" s="3" t="s">
        <v>25</v>
      </c>
      <c r="C32" s="3" t="s">
        <v>53</v>
      </c>
      <c r="D32" s="6">
        <v>21016.211</v>
      </c>
      <c r="E32" s="6">
        <v>0</v>
      </c>
      <c r="F32" s="6">
        <v>0</v>
      </c>
      <c r="G32" s="6">
        <v>291736</v>
      </c>
      <c r="H32" s="6">
        <v>0</v>
      </c>
      <c r="I32" s="6">
        <v>2023.95</v>
      </c>
      <c r="J32" s="6">
        <v>1491152.5</v>
      </c>
      <c r="K32" s="6">
        <v>2094169.5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3900098.161</v>
      </c>
    </row>
    <row r="33" spans="1:18">
      <c r="A33" s="3" t="s">
        <v>24</v>
      </c>
      <c r="B33" s="3" t="s">
        <v>25</v>
      </c>
      <c r="C33" s="3" t="s">
        <v>54</v>
      </c>
      <c r="D33" s="6">
        <v>4045.0928</v>
      </c>
      <c r="E33" s="6">
        <v>0</v>
      </c>
      <c r="F33" s="6">
        <v>0</v>
      </c>
      <c r="G33" s="6">
        <v>198818</v>
      </c>
      <c r="H33" s="6">
        <v>0</v>
      </c>
      <c r="I33" s="6">
        <v>7856.1</v>
      </c>
      <c r="J33" s="6">
        <v>490409.6875</v>
      </c>
      <c r="K33" s="6">
        <v>1168130.5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1869259.3803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14.1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14.1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14430</v>
      </c>
      <c r="I35" s="6">
        <v>3.15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14433.15</v>
      </c>
    </row>
    <row r="36" spans="1:18">
      <c r="A36" s="3" t="s">
        <v>24</v>
      </c>
      <c r="B36" s="3" t="s">
        <v>55</v>
      </c>
      <c r="C36" s="3" t="s">
        <v>58</v>
      </c>
      <c r="D36" s="6">
        <v>0.5208</v>
      </c>
      <c r="E36" s="6">
        <v>0</v>
      </c>
      <c r="F36" s="6">
        <v>0</v>
      </c>
      <c r="G36" s="6">
        <v>663.599975585938</v>
      </c>
      <c r="H36" s="6">
        <v>6742.336</v>
      </c>
      <c r="I36" s="6">
        <v>1.2</v>
      </c>
      <c r="J36" s="6">
        <v>0</v>
      </c>
      <c r="K36" s="6">
        <v>10947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58354.6567755859</v>
      </c>
    </row>
    <row r="37" spans="1:18">
      <c r="A37" s="3" t="s">
        <v>24</v>
      </c>
      <c r="B37" s="3" t="s">
        <v>55</v>
      </c>
      <c r="C37" s="3" t="s">
        <v>59</v>
      </c>
      <c r="D37" s="6">
        <v>6.1366</v>
      </c>
      <c r="E37" s="6">
        <v>0</v>
      </c>
      <c r="F37" s="6">
        <v>0</v>
      </c>
      <c r="G37" s="6">
        <v>4337.60009765625</v>
      </c>
      <c r="H37" s="6">
        <v>39599.473</v>
      </c>
      <c r="I37" s="6">
        <v>743.55</v>
      </c>
      <c r="J37" s="6">
        <v>43521</v>
      </c>
      <c r="K37" s="6">
        <v>22184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150391.759697656</v>
      </c>
    </row>
    <row r="38" spans="1:18">
      <c r="A38" s="3" t="s">
        <v>24</v>
      </c>
      <c r="B38" s="3" t="s">
        <v>55</v>
      </c>
      <c r="C38" s="3" t="s">
        <v>60</v>
      </c>
      <c r="D38" s="6">
        <v>0.2747</v>
      </c>
      <c r="E38" s="6">
        <v>0</v>
      </c>
      <c r="F38" s="6">
        <v>0</v>
      </c>
      <c r="G38" s="6">
        <v>448.399993896484</v>
      </c>
      <c r="H38" s="6">
        <v>0</v>
      </c>
      <c r="I38" s="6">
        <v>501.75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ref="R38:R69" si="1">SUM(D38:Q38)</f>
        <v>40950.4246938965</v>
      </c>
    </row>
    <row r="39" spans="1:18">
      <c r="A39" s="3" t="s">
        <v>24</v>
      </c>
      <c r="B39" s="3" t="s">
        <v>55</v>
      </c>
      <c r="C39" s="3" t="s">
        <v>61</v>
      </c>
      <c r="D39" s="6">
        <v>33.5755</v>
      </c>
      <c r="E39" s="6">
        <v>0</v>
      </c>
      <c r="F39" s="6">
        <v>0</v>
      </c>
      <c r="G39" s="6">
        <v>149499.59375</v>
      </c>
      <c r="H39" s="6">
        <v>215057.22</v>
      </c>
      <c r="I39" s="6">
        <v>2244.3</v>
      </c>
      <c r="J39" s="6">
        <v>73472</v>
      </c>
      <c r="K39" s="6">
        <v>55550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1"/>
        <v>535856.68925</v>
      </c>
    </row>
    <row r="40" spans="1:18">
      <c r="A40" s="3" t="s">
        <v>24</v>
      </c>
      <c r="B40" s="3" t="s">
        <v>55</v>
      </c>
      <c r="C40" s="3" t="s">
        <v>62</v>
      </c>
      <c r="D40" s="6">
        <v>11.8274</v>
      </c>
      <c r="E40" s="6">
        <v>0</v>
      </c>
      <c r="F40" s="6">
        <v>0</v>
      </c>
      <c r="G40" s="6">
        <v>81932.3984375</v>
      </c>
      <c r="H40" s="6">
        <v>123986.08</v>
      </c>
      <c r="I40" s="6">
        <v>317.85</v>
      </c>
      <c r="J40" s="6">
        <v>14902.849609375</v>
      </c>
      <c r="K40" s="6">
        <v>12960.5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1"/>
        <v>274111.505446875</v>
      </c>
    </row>
    <row r="41" spans="1:18">
      <c r="A41" s="3" t="s">
        <v>24</v>
      </c>
      <c r="B41" s="3" t="s">
        <v>55</v>
      </c>
      <c r="C41" s="3" t="s">
        <v>63</v>
      </c>
      <c r="D41" s="6">
        <v>0.0594</v>
      </c>
      <c r="E41" s="6">
        <v>0</v>
      </c>
      <c r="F41" s="6">
        <v>0</v>
      </c>
      <c r="G41" s="6">
        <v>0</v>
      </c>
      <c r="H41" s="6">
        <v>0</v>
      </c>
      <c r="I41" s="6">
        <v>13.8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1"/>
        <v>13.8594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799.35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1"/>
        <v>80799.35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106454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1"/>
        <v>106454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565314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1"/>
        <v>565314</v>
      </c>
    </row>
    <row r="45" spans="1:18">
      <c r="A45" s="3" t="s">
        <v>24</v>
      </c>
      <c r="B45" s="3" t="s">
        <v>69</v>
      </c>
      <c r="C45" s="3" t="s">
        <v>70</v>
      </c>
      <c r="D45" s="6">
        <v>9559.1032</v>
      </c>
      <c r="E45" s="6">
        <v>1741058</v>
      </c>
      <c r="F45" s="6">
        <v>0</v>
      </c>
      <c r="G45" s="6">
        <v>98034.796875</v>
      </c>
      <c r="H45" s="6">
        <v>4452500</v>
      </c>
      <c r="I45" s="6">
        <v>9197</v>
      </c>
      <c r="J45" s="6">
        <v>480193.09375</v>
      </c>
      <c r="K45" s="6">
        <v>387631.90625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si="1"/>
        <v>7178173.900075</v>
      </c>
    </row>
    <row r="46" spans="1:18">
      <c r="A46" s="3" t="s">
        <v>24</v>
      </c>
      <c r="B46" s="3" t="s">
        <v>69</v>
      </c>
      <c r="C46" s="3" t="s">
        <v>71</v>
      </c>
      <c r="D46" s="6">
        <v>1658.3418</v>
      </c>
      <c r="E46" s="6">
        <v>424883.625</v>
      </c>
      <c r="F46" s="6">
        <v>0</v>
      </c>
      <c r="G46" s="6">
        <v>22059.19921875</v>
      </c>
      <c r="H46" s="6">
        <v>412200</v>
      </c>
      <c r="I46" s="6">
        <v>116.25</v>
      </c>
      <c r="J46" s="6">
        <v>134420.703125</v>
      </c>
      <c r="K46" s="6">
        <v>97262.296875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1092600.41601875</v>
      </c>
    </row>
    <row r="47" spans="1:18">
      <c r="A47" s="3" t="s">
        <v>24</v>
      </c>
      <c r="B47" s="3" t="s">
        <v>69</v>
      </c>
      <c r="C47" s="3" t="s">
        <v>72</v>
      </c>
      <c r="D47" s="6">
        <v>926.1668</v>
      </c>
      <c r="E47" s="6">
        <v>1060702.125</v>
      </c>
      <c r="F47" s="6">
        <v>0</v>
      </c>
      <c r="G47" s="6">
        <v>60768.80078125</v>
      </c>
      <c r="H47" s="6">
        <v>696000</v>
      </c>
      <c r="I47" s="6">
        <v>18346.9</v>
      </c>
      <c r="J47" s="6">
        <v>149483.40625</v>
      </c>
      <c r="K47" s="6">
        <v>294227.3125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2280454.71133125</v>
      </c>
    </row>
    <row r="48" spans="1:18">
      <c r="A48" s="3" t="s">
        <v>24</v>
      </c>
      <c r="B48" s="3" t="s">
        <v>69</v>
      </c>
      <c r="C48" s="3" t="s">
        <v>73</v>
      </c>
      <c r="D48" s="6">
        <v>1.3817</v>
      </c>
      <c r="E48" s="6">
        <v>0</v>
      </c>
      <c r="F48" s="6">
        <v>0</v>
      </c>
      <c r="G48" s="6">
        <v>0</v>
      </c>
      <c r="H48" s="6">
        <v>16800</v>
      </c>
      <c r="I48" s="6">
        <v>260.94</v>
      </c>
      <c r="J48" s="6">
        <v>104.699996948242</v>
      </c>
      <c r="K48" s="6">
        <v>28391.19921875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45558.2209156982</v>
      </c>
    </row>
    <row r="49" spans="1:18">
      <c r="A49" s="3" t="s">
        <v>24</v>
      </c>
      <c r="B49" s="3" t="s">
        <v>69</v>
      </c>
      <c r="C49" s="3" t="s">
        <v>74</v>
      </c>
      <c r="D49" s="6">
        <v>2009.8382</v>
      </c>
      <c r="E49" s="6">
        <v>668900</v>
      </c>
      <c r="F49" s="6">
        <v>0</v>
      </c>
      <c r="G49" s="6">
        <v>154400.40625</v>
      </c>
      <c r="H49" s="6">
        <v>1508480</v>
      </c>
      <c r="I49" s="6">
        <v>9418.35</v>
      </c>
      <c r="J49" s="6">
        <v>214602.390625</v>
      </c>
      <c r="K49" s="6">
        <v>109501.5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2667312.485075</v>
      </c>
    </row>
    <row r="50" spans="1:18">
      <c r="A50" s="3" t="s">
        <v>24</v>
      </c>
      <c r="B50" s="3" t="s">
        <v>69</v>
      </c>
      <c r="C50" s="3" t="s">
        <v>75</v>
      </c>
      <c r="D50" s="6">
        <v>15.2676</v>
      </c>
      <c r="E50" s="6">
        <v>3476.38989257813</v>
      </c>
      <c r="F50" s="6">
        <v>0</v>
      </c>
      <c r="G50" s="6">
        <v>0</v>
      </c>
      <c r="H50" s="6">
        <v>23000</v>
      </c>
      <c r="I50" s="6">
        <v>1521.9</v>
      </c>
      <c r="J50" s="6">
        <v>922.080017089844</v>
      </c>
      <c r="K50" s="6">
        <v>47066.69921875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76002.336728418</v>
      </c>
    </row>
    <row r="51" spans="1:18">
      <c r="A51" s="3" t="s">
        <v>24</v>
      </c>
      <c r="B51" s="3" t="s">
        <v>69</v>
      </c>
      <c r="C51" s="3" t="s">
        <v>76</v>
      </c>
      <c r="D51" s="6">
        <v>3432.5125</v>
      </c>
      <c r="E51" s="6">
        <v>667361.6875</v>
      </c>
      <c r="F51" s="6">
        <v>0</v>
      </c>
      <c r="G51" s="6">
        <v>84662</v>
      </c>
      <c r="H51" s="6">
        <v>1584825</v>
      </c>
      <c r="I51" s="6">
        <v>11427.2</v>
      </c>
      <c r="J51" s="6">
        <v>236703.21875</v>
      </c>
      <c r="K51" s="6">
        <v>217036.09375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2805447.7125</v>
      </c>
    </row>
    <row r="52" spans="1:18">
      <c r="A52" s="3" t="s">
        <v>24</v>
      </c>
      <c r="B52" s="3" t="s">
        <v>69</v>
      </c>
      <c r="C52" s="3" t="s">
        <v>77</v>
      </c>
      <c r="D52" s="6">
        <v>825.4352</v>
      </c>
      <c r="E52" s="6">
        <v>636270.9375</v>
      </c>
      <c r="F52" s="6">
        <v>0</v>
      </c>
      <c r="G52" s="6">
        <v>23680</v>
      </c>
      <c r="H52" s="6">
        <v>785600</v>
      </c>
      <c r="I52" s="6">
        <v>2554.62</v>
      </c>
      <c r="J52" s="6">
        <v>143737.796875</v>
      </c>
      <c r="K52" s="6">
        <v>115913.203125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1708581.9927</v>
      </c>
    </row>
    <row r="53" spans="1:18">
      <c r="A53" s="3" t="s">
        <v>24</v>
      </c>
      <c r="B53" s="3" t="s">
        <v>69</v>
      </c>
      <c r="C53" s="3" t="s">
        <v>78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0</v>
      </c>
    </row>
    <row r="54" spans="1:18">
      <c r="A54" s="3" t="s">
        <v>24</v>
      </c>
      <c r="B54" s="3" t="s">
        <v>69</v>
      </c>
      <c r="C54" s="3" t="s">
        <v>79</v>
      </c>
      <c r="D54" s="6">
        <v>53.0503</v>
      </c>
      <c r="E54" s="6">
        <v>30910.33984375</v>
      </c>
      <c r="F54" s="6">
        <v>0</v>
      </c>
      <c r="G54" s="6">
        <v>0</v>
      </c>
      <c r="H54" s="6">
        <v>69000</v>
      </c>
      <c r="I54" s="6">
        <v>1599.84</v>
      </c>
      <c r="J54" s="6">
        <v>3427.27001953125</v>
      </c>
      <c r="K54" s="6">
        <v>2599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107589.500163281</v>
      </c>
    </row>
    <row r="55" spans="1:18">
      <c r="A55" s="3" t="s">
        <v>24</v>
      </c>
      <c r="B55" s="3" t="s">
        <v>69</v>
      </c>
      <c r="C55" s="3" t="s">
        <v>80</v>
      </c>
      <c r="D55" s="6">
        <v>0</v>
      </c>
      <c r="E55" s="6">
        <v>7413.83984375</v>
      </c>
      <c r="F55" s="6">
        <v>0</v>
      </c>
      <c r="G55" s="6">
        <v>0</v>
      </c>
      <c r="H55" s="6">
        <v>16800</v>
      </c>
      <c r="I55" s="6">
        <v>444.41</v>
      </c>
      <c r="J55" s="6">
        <v>776.450012207031</v>
      </c>
      <c r="K55" s="6">
        <v>658.799987792969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26093.49984375</v>
      </c>
    </row>
    <row r="56" spans="1:18">
      <c r="A56" s="3" t="s">
        <v>24</v>
      </c>
      <c r="B56" s="3" t="s">
        <v>69</v>
      </c>
      <c r="C56" s="3" t="s">
        <v>81</v>
      </c>
      <c r="D56" s="6">
        <v>106.8154</v>
      </c>
      <c r="E56" s="6">
        <v>86558.0703125</v>
      </c>
      <c r="F56" s="6">
        <v>0</v>
      </c>
      <c r="G56" s="6">
        <v>0</v>
      </c>
      <c r="H56" s="6">
        <v>205200</v>
      </c>
      <c r="I56" s="6">
        <v>7373.27</v>
      </c>
      <c r="J56" s="6">
        <v>10036.599609375</v>
      </c>
      <c r="K56" s="6">
        <v>8599.599609375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317874.35493125</v>
      </c>
    </row>
    <row r="57" spans="1:18">
      <c r="A57" s="3" t="s">
        <v>24</v>
      </c>
      <c r="B57" s="3" t="s">
        <v>69</v>
      </c>
      <c r="C57" s="3" t="s">
        <v>82</v>
      </c>
      <c r="D57" s="6">
        <v>1615.6294</v>
      </c>
      <c r="E57" s="6">
        <v>5856.72021484375</v>
      </c>
      <c r="F57" s="6">
        <v>0</v>
      </c>
      <c r="G57" s="6">
        <v>36258.80078125</v>
      </c>
      <c r="H57" s="6">
        <v>269580</v>
      </c>
      <c r="I57" s="6">
        <v>51.3</v>
      </c>
      <c r="J57" s="6">
        <v>122819.7421875</v>
      </c>
      <c r="K57" s="6">
        <v>50629.3984375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486811.591021094</v>
      </c>
    </row>
    <row r="58" spans="1:18">
      <c r="A58" s="3" t="s">
        <v>24</v>
      </c>
      <c r="B58" s="3" t="s">
        <v>69</v>
      </c>
      <c r="C58" s="3" t="s">
        <v>83</v>
      </c>
      <c r="D58" s="6">
        <v>2531.7443</v>
      </c>
      <c r="E58" s="6">
        <v>1124710.75</v>
      </c>
      <c r="F58" s="6">
        <v>0</v>
      </c>
      <c r="G58" s="6">
        <v>70093.203125</v>
      </c>
      <c r="H58" s="6">
        <v>1265600</v>
      </c>
      <c r="I58" s="6">
        <v>2081.75</v>
      </c>
      <c r="J58" s="6">
        <v>214944.078125</v>
      </c>
      <c r="K58" s="6">
        <v>173058.703125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2853020.228675</v>
      </c>
    </row>
    <row r="59" spans="1:18">
      <c r="A59" s="3" t="s">
        <v>24</v>
      </c>
      <c r="B59" s="3" t="s">
        <v>69</v>
      </c>
      <c r="C59" s="3" t="s">
        <v>84</v>
      </c>
      <c r="D59" s="6">
        <v>894.134</v>
      </c>
      <c r="E59" s="6">
        <v>153171.5625</v>
      </c>
      <c r="F59" s="6">
        <v>0</v>
      </c>
      <c r="G59" s="6">
        <v>0</v>
      </c>
      <c r="H59" s="6">
        <v>231750</v>
      </c>
      <c r="I59" s="6">
        <v>2978.85</v>
      </c>
      <c r="J59" s="6">
        <v>82267.25</v>
      </c>
      <c r="K59" s="6">
        <v>36861.8984375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507923.6949375</v>
      </c>
    </row>
    <row r="60" spans="1:18">
      <c r="A60" s="3" t="s">
        <v>24</v>
      </c>
      <c r="B60" s="3" t="s">
        <v>69</v>
      </c>
      <c r="C60" s="3" t="s">
        <v>85</v>
      </c>
      <c r="D60" s="6">
        <v>734.8782</v>
      </c>
      <c r="E60" s="6">
        <v>144529.78125</v>
      </c>
      <c r="F60" s="6">
        <v>0</v>
      </c>
      <c r="G60" s="6">
        <v>49236.3984375</v>
      </c>
      <c r="H60" s="6">
        <v>337200</v>
      </c>
      <c r="I60" s="6">
        <v>65326.39</v>
      </c>
      <c r="J60" s="6">
        <v>63141.2109375</v>
      </c>
      <c r="K60" s="6">
        <v>33236.3984375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693405.0572625</v>
      </c>
    </row>
    <row r="61" spans="1:18">
      <c r="A61" s="3" t="s">
        <v>24</v>
      </c>
      <c r="B61" s="3" t="s">
        <v>69</v>
      </c>
      <c r="C61" s="3" t="s">
        <v>86</v>
      </c>
      <c r="D61" s="6">
        <v>2426.0938</v>
      </c>
      <c r="E61" s="6">
        <v>803328</v>
      </c>
      <c r="F61" s="6">
        <v>0</v>
      </c>
      <c r="G61" s="6">
        <v>89171.6015625</v>
      </c>
      <c r="H61" s="6">
        <v>2704960</v>
      </c>
      <c r="I61" s="6">
        <v>18420.42</v>
      </c>
      <c r="J61" s="6">
        <v>194298.21875</v>
      </c>
      <c r="K61" s="6">
        <v>191069.90625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4003674.2403625</v>
      </c>
    </row>
    <row r="62" spans="1:18">
      <c r="A62" s="3" t="s">
        <v>24</v>
      </c>
      <c r="B62" s="3" t="s">
        <v>69</v>
      </c>
      <c r="C62" s="3" t="s">
        <v>87</v>
      </c>
      <c r="D62" s="6">
        <v>81.4154</v>
      </c>
      <c r="E62" s="6">
        <v>9603.900390625</v>
      </c>
      <c r="F62" s="6">
        <v>0</v>
      </c>
      <c r="G62" s="6">
        <v>0</v>
      </c>
      <c r="H62" s="6">
        <v>96000</v>
      </c>
      <c r="I62" s="6">
        <v>1015.29</v>
      </c>
      <c r="J62" s="6">
        <v>4266.0400390625</v>
      </c>
      <c r="K62" s="6">
        <v>11294.7001953125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122261.346025</v>
      </c>
    </row>
    <row r="63" spans="1:18">
      <c r="A63" s="3" t="s">
        <v>24</v>
      </c>
      <c r="B63" s="3" t="s">
        <v>69</v>
      </c>
      <c r="C63" s="3" t="s">
        <v>88</v>
      </c>
      <c r="D63" s="6">
        <v>2074.6258</v>
      </c>
      <c r="E63" s="6">
        <v>826372.75</v>
      </c>
      <c r="F63" s="6">
        <v>0</v>
      </c>
      <c r="G63" s="6">
        <v>136083.203125</v>
      </c>
      <c r="H63" s="6">
        <v>783150</v>
      </c>
      <c r="I63" s="6">
        <v>9969.96</v>
      </c>
      <c r="J63" s="6">
        <v>177711.34375</v>
      </c>
      <c r="K63" s="6">
        <v>103943.5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2039305.382675</v>
      </c>
    </row>
    <row r="64" spans="1:18">
      <c r="A64" s="3" t="s">
        <v>24</v>
      </c>
      <c r="B64" s="3" t="s">
        <v>69</v>
      </c>
      <c r="C64" s="3" t="s">
        <v>89</v>
      </c>
      <c r="D64" s="6">
        <v>508.5344</v>
      </c>
      <c r="E64" s="6">
        <v>103612.703125</v>
      </c>
      <c r="F64" s="6">
        <v>0</v>
      </c>
      <c r="G64" s="6">
        <v>19274.80078125</v>
      </c>
      <c r="H64" s="6">
        <v>79200</v>
      </c>
      <c r="I64" s="6">
        <v>109.5</v>
      </c>
      <c r="J64" s="6">
        <v>36433.3203125</v>
      </c>
      <c r="K64" s="6">
        <v>27193.400390625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266332.259009375</v>
      </c>
    </row>
    <row r="65" spans="1:18">
      <c r="A65" s="3" t="s">
        <v>24</v>
      </c>
      <c r="B65" s="3" t="s">
        <v>69</v>
      </c>
      <c r="C65" s="3" t="s">
        <v>90</v>
      </c>
      <c r="D65" s="6">
        <v>3063.6514</v>
      </c>
      <c r="E65" s="6">
        <v>1112268</v>
      </c>
      <c r="F65" s="6">
        <v>0</v>
      </c>
      <c r="G65" s="6">
        <v>189663.203125</v>
      </c>
      <c r="H65" s="6">
        <v>1677000</v>
      </c>
      <c r="I65" s="6">
        <v>12275.74</v>
      </c>
      <c r="J65" s="6">
        <v>136039.09375</v>
      </c>
      <c r="K65" s="6">
        <v>1198711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4329020.688275</v>
      </c>
    </row>
    <row r="66" spans="1:18">
      <c r="A66" s="3" t="s">
        <v>24</v>
      </c>
      <c r="B66" s="3" t="s">
        <v>91</v>
      </c>
      <c r="C66" s="3" t="s">
        <v>92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29471.140625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29471.140625</v>
      </c>
    </row>
    <row r="67" spans="1:18">
      <c r="A67" s="3" t="s">
        <v>24</v>
      </c>
      <c r="B67" s="3" t="s">
        <v>91</v>
      </c>
      <c r="C67" s="3" t="s">
        <v>93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5620.35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5620.35</v>
      </c>
    </row>
    <row r="68" spans="1:18">
      <c r="A68" s="3" t="s">
        <v>24</v>
      </c>
      <c r="B68" s="3" t="s">
        <v>91</v>
      </c>
      <c r="C68" s="3" t="s">
        <v>94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357.6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357.6</v>
      </c>
    </row>
    <row r="69" spans="1:18">
      <c r="A69" s="3" t="s">
        <v>24</v>
      </c>
      <c r="B69" s="3" t="s">
        <v>91</v>
      </c>
      <c r="C69" s="3" t="s">
        <v>95</v>
      </c>
      <c r="D69" s="6">
        <v>1.8816</v>
      </c>
      <c r="E69" s="6">
        <v>0</v>
      </c>
      <c r="F69" s="6">
        <v>0</v>
      </c>
      <c r="G69" s="6">
        <v>0</v>
      </c>
      <c r="H69" s="6">
        <v>0</v>
      </c>
      <c r="I69" s="6">
        <v>6.75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8.6316</v>
      </c>
    </row>
    <row r="70" spans="1:18">
      <c r="A70" s="3" t="s">
        <v>24</v>
      </c>
      <c r="B70" s="3" t="s">
        <v>91</v>
      </c>
      <c r="C70" s="3" t="s">
        <v>96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ref="R70:R101" si="2">SUM(D70:Q70)</f>
        <v>0</v>
      </c>
    </row>
    <row r="71" spans="1:18">
      <c r="A71" s="3" t="s">
        <v>24</v>
      </c>
      <c r="B71" s="3" t="s">
        <v>91</v>
      </c>
      <c r="C71" s="3" t="s">
        <v>97</v>
      </c>
      <c r="D71" s="6">
        <v>6.5988</v>
      </c>
      <c r="E71" s="6">
        <v>0</v>
      </c>
      <c r="F71" s="6">
        <v>0</v>
      </c>
      <c r="G71" s="6">
        <v>11254.400390625</v>
      </c>
      <c r="H71" s="6">
        <v>0</v>
      </c>
      <c r="I71" s="6">
        <v>2.25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si="2"/>
        <v>11263.249190625</v>
      </c>
    </row>
    <row r="72" spans="1:18">
      <c r="A72" s="3" t="s">
        <v>24</v>
      </c>
      <c r="B72" s="3" t="s">
        <v>91</v>
      </c>
      <c r="C72" s="3" t="s">
        <v>98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144.3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144.3</v>
      </c>
    </row>
    <row r="73" spans="1:18">
      <c r="A73" s="3" t="s">
        <v>24</v>
      </c>
      <c r="B73" s="3" t="s">
        <v>91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1062.75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1062.75</v>
      </c>
    </row>
    <row r="74" spans="1:18">
      <c r="A74" s="3" t="s">
        <v>24</v>
      </c>
      <c r="B74" s="3" t="s">
        <v>91</v>
      </c>
      <c r="C74" s="3" t="s">
        <v>100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1.8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1.8</v>
      </c>
    </row>
    <row r="75" spans="1:18">
      <c r="A75" s="3" t="s">
        <v>24</v>
      </c>
      <c r="B75" s="3" t="s">
        <v>91</v>
      </c>
      <c r="C75" s="3" t="s">
        <v>101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2267.4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2267.4</v>
      </c>
    </row>
    <row r="76" spans="1:18">
      <c r="A76" s="3" t="s">
        <v>24</v>
      </c>
      <c r="B76" s="3" t="s">
        <v>91</v>
      </c>
      <c r="C76" s="3" t="s">
        <v>102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79.65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79.65</v>
      </c>
    </row>
    <row r="77" spans="1:18">
      <c r="A77" s="3" t="s">
        <v>24</v>
      </c>
      <c r="B77" s="3" t="s">
        <v>91</v>
      </c>
      <c r="C77" s="3" t="s">
        <v>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0</v>
      </c>
    </row>
    <row r="78" spans="1:18">
      <c r="A78" s="3" t="s">
        <v>24</v>
      </c>
      <c r="B78" s="3" t="s">
        <v>91</v>
      </c>
      <c r="C78" s="3" t="s">
        <v>104</v>
      </c>
      <c r="D78" s="6">
        <v>3.33</v>
      </c>
      <c r="E78" s="6">
        <v>0</v>
      </c>
      <c r="F78" s="6">
        <v>0</v>
      </c>
      <c r="G78" s="6">
        <v>0</v>
      </c>
      <c r="H78" s="6">
        <v>0</v>
      </c>
      <c r="I78" s="6">
        <v>57668.85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57672.18</v>
      </c>
    </row>
    <row r="79" spans="1:18">
      <c r="A79" s="3" t="s">
        <v>24</v>
      </c>
      <c r="B79" s="3" t="s">
        <v>91</v>
      </c>
      <c r="C79" s="3" t="s">
        <v>105</v>
      </c>
      <c r="D79" s="6">
        <v>6.0821</v>
      </c>
      <c r="E79" s="6">
        <v>0</v>
      </c>
      <c r="F79" s="6">
        <v>0</v>
      </c>
      <c r="G79" s="6">
        <v>2874.39990234375</v>
      </c>
      <c r="H79" s="6">
        <v>0</v>
      </c>
      <c r="I79" s="6">
        <v>493.65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3374.13200234375</v>
      </c>
    </row>
    <row r="80" spans="1:18">
      <c r="A80" s="3" t="s">
        <v>24</v>
      </c>
      <c r="B80" s="3" t="s">
        <v>91</v>
      </c>
      <c r="C80" s="3" t="s">
        <v>106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966.6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966.6</v>
      </c>
    </row>
    <row r="81" spans="1:18">
      <c r="A81" s="3" t="s">
        <v>24</v>
      </c>
      <c r="B81" s="3" t="s">
        <v>91</v>
      </c>
      <c r="C81" s="3" t="s">
        <v>107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111.9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111.9</v>
      </c>
    </row>
    <row r="82" spans="1:18">
      <c r="A82" s="3" t="s">
        <v>24</v>
      </c>
      <c r="B82" s="3" t="s">
        <v>91</v>
      </c>
      <c r="C82" s="3" t="s">
        <v>108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465.6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465.6</v>
      </c>
    </row>
    <row r="83" spans="1:18">
      <c r="A83" s="3" t="s">
        <v>24</v>
      </c>
      <c r="B83" s="3" t="s">
        <v>91</v>
      </c>
      <c r="C83" s="3" t="s">
        <v>109</v>
      </c>
      <c r="D83" s="6">
        <v>1.5646</v>
      </c>
      <c r="E83" s="6">
        <v>0</v>
      </c>
      <c r="F83" s="6">
        <v>0</v>
      </c>
      <c r="G83" s="6">
        <v>0</v>
      </c>
      <c r="H83" s="6">
        <v>0</v>
      </c>
      <c r="I83" s="6">
        <v>1429.8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1431.3646</v>
      </c>
    </row>
    <row r="84" spans="1:18">
      <c r="A84" s="3" t="s">
        <v>24</v>
      </c>
      <c r="B84" s="3" t="s">
        <v>91</v>
      </c>
      <c r="C84" s="3" t="s">
        <v>110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67.2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67.2</v>
      </c>
    </row>
    <row r="85" spans="1:18">
      <c r="A85" s="3" t="s">
        <v>24</v>
      </c>
      <c r="B85" s="3" t="s">
        <v>91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150.45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150.45</v>
      </c>
    </row>
    <row r="86" spans="1:18">
      <c r="A86" s="3" t="s">
        <v>24</v>
      </c>
      <c r="B86" s="3" t="s">
        <v>91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7.2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7.2</v>
      </c>
    </row>
    <row r="87" spans="1:18">
      <c r="A87" s="3" t="s">
        <v>24</v>
      </c>
      <c r="B87" s="3" t="s">
        <v>91</v>
      </c>
      <c r="C87" s="3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481.65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481.65</v>
      </c>
    </row>
    <row r="88" spans="1:18">
      <c r="A88" s="3" t="s">
        <v>24</v>
      </c>
      <c r="B88" s="3" t="s">
        <v>91</v>
      </c>
      <c r="C88" s="3" t="s">
        <v>114</v>
      </c>
      <c r="D88" s="6">
        <v>1.4626</v>
      </c>
      <c r="E88" s="6">
        <v>0</v>
      </c>
      <c r="F88" s="6">
        <v>0</v>
      </c>
      <c r="G88" s="6">
        <v>0</v>
      </c>
      <c r="H88" s="6">
        <v>0</v>
      </c>
      <c r="I88" s="6">
        <v>162339</v>
      </c>
      <c r="J88" s="6">
        <v>34712.28125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197052.74385</v>
      </c>
    </row>
    <row r="89" spans="1:18">
      <c r="A89" s="3" t="s">
        <v>24</v>
      </c>
      <c r="B89" s="3" t="s">
        <v>91</v>
      </c>
      <c r="C89" s="3" t="s">
        <v>115</v>
      </c>
      <c r="D89" s="6">
        <v>4.7825</v>
      </c>
      <c r="E89" s="6">
        <v>0</v>
      </c>
      <c r="F89" s="6">
        <v>0</v>
      </c>
      <c r="G89" s="6">
        <v>6132.7998046875</v>
      </c>
      <c r="H89" s="6">
        <v>0</v>
      </c>
      <c r="I89" s="6">
        <v>4117.65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10255.2323046875</v>
      </c>
    </row>
    <row r="90" spans="1:18">
      <c r="A90" s="3" t="s">
        <v>24</v>
      </c>
      <c r="B90" s="3" t="s">
        <v>91</v>
      </c>
      <c r="C90" s="3" t="s">
        <v>116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23281.2</v>
      </c>
      <c r="J90" s="6">
        <v>18933.349609375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42214.549609375</v>
      </c>
    </row>
    <row r="91" spans="1:18">
      <c r="A91" s="3" t="s">
        <v>24</v>
      </c>
      <c r="B91" s="3" t="s">
        <v>91</v>
      </c>
      <c r="C91" s="3" t="s">
        <v>117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211.05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211.05</v>
      </c>
    </row>
    <row r="92" spans="1:18">
      <c r="A92" s="3" t="s">
        <v>24</v>
      </c>
      <c r="B92" s="3" t="s">
        <v>91</v>
      </c>
      <c r="C92" s="3" t="s">
        <v>118</v>
      </c>
      <c r="D92" s="6">
        <v>1.2485</v>
      </c>
      <c r="E92" s="6">
        <v>0</v>
      </c>
      <c r="F92" s="6">
        <v>0</v>
      </c>
      <c r="G92" s="6">
        <v>862.400024414063</v>
      </c>
      <c r="H92" s="6">
        <v>0</v>
      </c>
      <c r="I92" s="6">
        <v>89.55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953.198524414063</v>
      </c>
    </row>
    <row r="93" spans="1:18">
      <c r="A93" s="3" t="s">
        <v>24</v>
      </c>
      <c r="B93" s="3" t="s">
        <v>91</v>
      </c>
      <c r="C93" s="3" t="s">
        <v>119</v>
      </c>
      <c r="D93" s="6">
        <v>2.5537</v>
      </c>
      <c r="E93" s="6">
        <v>0</v>
      </c>
      <c r="F93" s="6">
        <v>0</v>
      </c>
      <c r="G93" s="6">
        <v>1465.19995117187</v>
      </c>
      <c r="H93" s="6">
        <v>0</v>
      </c>
      <c r="I93" s="6">
        <v>578.1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2045.85365117187</v>
      </c>
    </row>
    <row r="94" spans="1:18">
      <c r="A94" s="3" t="s">
        <v>24</v>
      </c>
      <c r="B94" s="3" t="s">
        <v>91</v>
      </c>
      <c r="C94" s="3" t="s">
        <v>120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52.05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52.05</v>
      </c>
    </row>
    <row r="95" spans="1:18">
      <c r="A95" s="3" t="s">
        <v>24</v>
      </c>
      <c r="B95" s="3" t="s">
        <v>91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167.1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167.1</v>
      </c>
    </row>
    <row r="96" spans="1:18">
      <c r="A96" s="3" t="s">
        <v>24</v>
      </c>
      <c r="B96" s="3" t="s">
        <v>91</v>
      </c>
      <c r="C96" s="3" t="s">
        <v>122</v>
      </c>
      <c r="D96" s="6">
        <v>1.4341</v>
      </c>
      <c r="E96" s="6">
        <v>0</v>
      </c>
      <c r="F96" s="6">
        <v>0</v>
      </c>
      <c r="G96" s="6">
        <v>19880</v>
      </c>
      <c r="H96" s="6">
        <v>0</v>
      </c>
      <c r="I96" s="6">
        <v>77.7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19959.1341</v>
      </c>
    </row>
    <row r="97" spans="1:18">
      <c r="A97" s="3" t="s">
        <v>24</v>
      </c>
      <c r="B97" s="3" t="s">
        <v>91</v>
      </c>
      <c r="C97" s="3" t="s">
        <v>123</v>
      </c>
      <c r="D97" s="6">
        <v>0.4352</v>
      </c>
      <c r="E97" s="6">
        <v>0</v>
      </c>
      <c r="F97" s="6">
        <v>0</v>
      </c>
      <c r="G97" s="6">
        <v>0</v>
      </c>
      <c r="H97" s="6">
        <v>0</v>
      </c>
      <c r="I97" s="6">
        <v>14807.1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14807.5352</v>
      </c>
    </row>
    <row r="98" spans="1:18">
      <c r="A98" s="3" t="s">
        <v>24</v>
      </c>
      <c r="B98" s="3" t="s">
        <v>91</v>
      </c>
      <c r="C98" s="3" t="s">
        <v>124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707.7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707.7</v>
      </c>
    </row>
    <row r="99" spans="1:18">
      <c r="A99" s="3" t="s">
        <v>24</v>
      </c>
      <c r="B99" s="3" t="s">
        <v>91</v>
      </c>
      <c r="C99" s="3" t="s">
        <v>125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0</v>
      </c>
    </row>
    <row r="100" spans="1:18">
      <c r="A100" s="3" t="s">
        <v>24</v>
      </c>
      <c r="B100" s="3" t="s">
        <v>91</v>
      </c>
      <c r="C100" s="3" t="s">
        <v>126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253.2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253.2</v>
      </c>
    </row>
    <row r="101" spans="1:18">
      <c r="A101" s="3" t="s">
        <v>24</v>
      </c>
      <c r="B101" s="3" t="s">
        <v>91</v>
      </c>
      <c r="C101" s="3" t="s">
        <v>127</v>
      </c>
      <c r="D101" s="6">
        <v>0.1517</v>
      </c>
      <c r="E101" s="6">
        <v>0</v>
      </c>
      <c r="F101" s="6">
        <v>0</v>
      </c>
      <c r="G101" s="6">
        <v>0</v>
      </c>
      <c r="H101" s="6">
        <v>0</v>
      </c>
      <c r="I101" s="6">
        <v>10735.05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10735.2017</v>
      </c>
    </row>
    <row r="102" spans="1:18">
      <c r="A102" s="3" t="s">
        <v>24</v>
      </c>
      <c r="B102" s="3" t="s">
        <v>91</v>
      </c>
      <c r="C102" s="3" t="s">
        <v>128</v>
      </c>
      <c r="D102" s="6">
        <v>1.7003</v>
      </c>
      <c r="E102" s="6">
        <v>0</v>
      </c>
      <c r="F102" s="6">
        <v>0</v>
      </c>
      <c r="G102" s="6">
        <v>624.400024414063</v>
      </c>
      <c r="H102" s="6">
        <v>0</v>
      </c>
      <c r="I102" s="6">
        <v>28.5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ref="R102:R133" si="3">SUM(D102:Q102)</f>
        <v>654.600324414063</v>
      </c>
    </row>
    <row r="103" spans="1:18">
      <c r="A103" s="3" t="s">
        <v>24</v>
      </c>
      <c r="B103" s="3" t="s">
        <v>91</v>
      </c>
      <c r="C103" s="3" t="s">
        <v>129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421.65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3"/>
        <v>421.65</v>
      </c>
    </row>
    <row r="104" spans="1:18">
      <c r="A104" s="3" t="s">
        <v>24</v>
      </c>
      <c r="B104" s="3" t="s">
        <v>91</v>
      </c>
      <c r="C104" s="3" t="s">
        <v>130</v>
      </c>
      <c r="D104" s="6">
        <v>0.4097</v>
      </c>
      <c r="E104" s="6">
        <v>0</v>
      </c>
      <c r="F104" s="6">
        <v>0</v>
      </c>
      <c r="G104" s="6">
        <v>760.799987792969</v>
      </c>
      <c r="H104" s="6">
        <v>0</v>
      </c>
      <c r="I104" s="6">
        <v>181.35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942.559687792969</v>
      </c>
    </row>
    <row r="105" spans="1:18">
      <c r="A105" s="3" t="s">
        <v>24</v>
      </c>
      <c r="B105" s="3" t="s">
        <v>91</v>
      </c>
      <c r="C105" s="3" t="s">
        <v>131</v>
      </c>
      <c r="D105" s="6">
        <v>0.8887</v>
      </c>
      <c r="E105" s="6">
        <v>0</v>
      </c>
      <c r="F105" s="6">
        <v>0</v>
      </c>
      <c r="G105" s="6">
        <v>847.599975585938</v>
      </c>
      <c r="H105" s="6">
        <v>0</v>
      </c>
      <c r="I105" s="6">
        <v>965.55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1814.03867558594</v>
      </c>
    </row>
    <row r="106" spans="1:18">
      <c r="A106" s="3" t="s">
        <v>24</v>
      </c>
      <c r="B106" s="3" t="s">
        <v>91</v>
      </c>
      <c r="C106" s="3" t="s">
        <v>132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207.3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207.3</v>
      </c>
    </row>
    <row r="107" spans="1:18">
      <c r="A107" s="3" t="s">
        <v>24</v>
      </c>
      <c r="B107" s="3" t="s">
        <v>91</v>
      </c>
      <c r="C107" s="3" t="s">
        <v>133</v>
      </c>
      <c r="D107" s="6">
        <v>0.7873</v>
      </c>
      <c r="E107" s="6">
        <v>0</v>
      </c>
      <c r="F107" s="6">
        <v>0</v>
      </c>
      <c r="G107" s="6">
        <v>0</v>
      </c>
      <c r="H107" s="6">
        <v>0</v>
      </c>
      <c r="I107" s="6">
        <v>23899.35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23900.1373</v>
      </c>
    </row>
    <row r="108" spans="1:18">
      <c r="A108" s="3" t="s">
        <v>24</v>
      </c>
      <c r="B108" s="3" t="s">
        <v>91</v>
      </c>
      <c r="C108" s="3" t="s">
        <v>134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0</v>
      </c>
    </row>
    <row r="109" spans="1:18">
      <c r="A109" s="3" t="s">
        <v>24</v>
      </c>
      <c r="B109" s="3" t="s">
        <v>91</v>
      </c>
      <c r="C109" s="3" t="s">
        <v>135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161.25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161.25</v>
      </c>
    </row>
    <row r="110" spans="1:18">
      <c r="A110" s="3" t="s">
        <v>24</v>
      </c>
      <c r="B110" s="3" t="s">
        <v>91</v>
      </c>
      <c r="C110" s="3" t="s">
        <v>136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0</v>
      </c>
    </row>
    <row r="111" spans="1:18">
      <c r="A111" s="3" t="s">
        <v>24</v>
      </c>
      <c r="B111" s="3" t="s">
        <v>91</v>
      </c>
      <c r="C111" s="3" t="s">
        <v>137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0</v>
      </c>
    </row>
    <row r="112" spans="1:18">
      <c r="A112" s="3" t="s">
        <v>24</v>
      </c>
      <c r="B112" s="3" t="s">
        <v>91</v>
      </c>
      <c r="C112" s="3" t="s">
        <v>138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1544.4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1544.4</v>
      </c>
    </row>
    <row r="113" spans="1:18">
      <c r="A113" s="3" t="s">
        <v>24</v>
      </c>
      <c r="B113" s="3" t="s">
        <v>91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34884.9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34884.9</v>
      </c>
    </row>
    <row r="114" spans="1:18">
      <c r="A114" s="3" t="s">
        <v>24</v>
      </c>
      <c r="B114" s="3" t="s">
        <v>91</v>
      </c>
      <c r="C114" s="3" t="s">
        <v>140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3194.85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3194.85</v>
      </c>
    </row>
    <row r="115" spans="1:18">
      <c r="A115" s="3" t="s">
        <v>24</v>
      </c>
      <c r="B115" s="3" t="s">
        <v>91</v>
      </c>
      <c r="C115" s="3" t="s">
        <v>141</v>
      </c>
      <c r="D115" s="6">
        <v>1.2744</v>
      </c>
      <c r="E115" s="6">
        <v>0</v>
      </c>
      <c r="F115" s="6">
        <v>0</v>
      </c>
      <c r="G115" s="6">
        <v>0</v>
      </c>
      <c r="H115" s="6">
        <v>0</v>
      </c>
      <c r="I115" s="6">
        <v>131934.6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131935.8744</v>
      </c>
    </row>
    <row r="116" spans="1:18">
      <c r="A116" s="3" t="s">
        <v>24</v>
      </c>
      <c r="B116" s="3" t="s">
        <v>91</v>
      </c>
      <c r="C116" s="3" t="s">
        <v>142</v>
      </c>
      <c r="D116" s="6">
        <v>1.5068</v>
      </c>
      <c r="E116" s="6">
        <v>0</v>
      </c>
      <c r="F116" s="6">
        <v>0</v>
      </c>
      <c r="G116" s="6">
        <v>384</v>
      </c>
      <c r="H116" s="6">
        <v>0</v>
      </c>
      <c r="I116" s="6">
        <v>93.6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479.1068</v>
      </c>
    </row>
    <row r="117" spans="1:18">
      <c r="A117" s="3" t="s">
        <v>24</v>
      </c>
      <c r="B117" s="3" t="s">
        <v>91</v>
      </c>
      <c r="C117" s="3" t="s">
        <v>143</v>
      </c>
      <c r="D117" s="6">
        <v>0.1238</v>
      </c>
      <c r="E117" s="6">
        <v>0</v>
      </c>
      <c r="F117" s="6">
        <v>0</v>
      </c>
      <c r="G117" s="6">
        <v>0</v>
      </c>
      <c r="H117" s="6">
        <v>0</v>
      </c>
      <c r="I117" s="6">
        <v>14.4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14.5238</v>
      </c>
    </row>
    <row r="118" spans="1:18">
      <c r="A118" s="3" t="s">
        <v>24</v>
      </c>
      <c r="B118" s="3" t="s">
        <v>91</v>
      </c>
      <c r="C118" s="3" t="s">
        <v>144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99.6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99.6</v>
      </c>
    </row>
    <row r="119" spans="1:18">
      <c r="A119" s="3" t="s">
        <v>24</v>
      </c>
      <c r="B119" s="3" t="s">
        <v>91</v>
      </c>
      <c r="C119" s="3" t="s">
        <v>145</v>
      </c>
      <c r="D119" s="6">
        <v>1.0656</v>
      </c>
      <c r="E119" s="6">
        <v>0</v>
      </c>
      <c r="F119" s="6">
        <v>0</v>
      </c>
      <c r="G119" s="6">
        <v>21437.19921875</v>
      </c>
      <c r="H119" s="6">
        <v>0</v>
      </c>
      <c r="I119" s="6">
        <v>27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21465.26481875</v>
      </c>
    </row>
    <row r="120" spans="1:18">
      <c r="A120" s="3" t="s">
        <v>24</v>
      </c>
      <c r="B120" s="3" t="s">
        <v>91</v>
      </c>
      <c r="C120" s="3" t="s">
        <v>146</v>
      </c>
      <c r="D120" s="6">
        <v>0.2575</v>
      </c>
      <c r="E120" s="6">
        <v>0</v>
      </c>
      <c r="F120" s="6">
        <v>0</v>
      </c>
      <c r="G120" s="6">
        <v>0</v>
      </c>
      <c r="H120" s="6">
        <v>0</v>
      </c>
      <c r="I120" s="6">
        <v>201.6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201.8575</v>
      </c>
    </row>
    <row r="121" spans="1:18">
      <c r="A121" s="3" t="s">
        <v>24</v>
      </c>
      <c r="B121" s="3" t="s">
        <v>91</v>
      </c>
      <c r="C121" s="3" t="s">
        <v>147</v>
      </c>
      <c r="D121" s="6">
        <v>0.3514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0.3514</v>
      </c>
    </row>
    <row r="122" spans="1:18">
      <c r="A122" s="3" t="s">
        <v>24</v>
      </c>
      <c r="B122" s="3" t="s">
        <v>91</v>
      </c>
      <c r="C122" s="3" t="s">
        <v>148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1223.85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1223.85</v>
      </c>
    </row>
    <row r="123" spans="1:18">
      <c r="A123" s="3" t="s">
        <v>24</v>
      </c>
      <c r="B123" s="3" t="s">
        <v>91</v>
      </c>
      <c r="C123" s="3" t="s">
        <v>149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0</v>
      </c>
    </row>
    <row r="124" spans="1:18">
      <c r="A124" s="3" t="s">
        <v>24</v>
      </c>
      <c r="B124" s="3" t="s">
        <v>91</v>
      </c>
      <c r="C124" s="3" t="s">
        <v>150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326.25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326.25</v>
      </c>
    </row>
    <row r="125" spans="1:18">
      <c r="A125" s="3" t="s">
        <v>24</v>
      </c>
      <c r="B125" s="3" t="s">
        <v>91</v>
      </c>
      <c r="C125" s="3" t="s">
        <v>151</v>
      </c>
      <c r="D125" s="6">
        <v>1.9127</v>
      </c>
      <c r="E125" s="6">
        <v>0</v>
      </c>
      <c r="F125" s="6">
        <v>0</v>
      </c>
      <c r="G125" s="6">
        <v>1050</v>
      </c>
      <c r="H125" s="6">
        <v>0</v>
      </c>
      <c r="I125" s="6">
        <v>26483.4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27535.3127</v>
      </c>
    </row>
    <row r="126" spans="1:18">
      <c r="A126" s="3" t="s">
        <v>24</v>
      </c>
      <c r="B126" s="3" t="s">
        <v>91</v>
      </c>
      <c r="C126" s="3" t="s">
        <v>152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3187.05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3187.05</v>
      </c>
    </row>
    <row r="127" spans="1:18">
      <c r="A127" s="3" t="s">
        <v>24</v>
      </c>
      <c r="B127" s="3" t="s">
        <v>91</v>
      </c>
      <c r="C127" s="3" t="s">
        <v>153</v>
      </c>
      <c r="D127" s="6">
        <v>1.6079</v>
      </c>
      <c r="E127" s="6">
        <v>0</v>
      </c>
      <c r="F127" s="6">
        <v>0</v>
      </c>
      <c r="G127" s="6">
        <v>0</v>
      </c>
      <c r="H127" s="6">
        <v>0</v>
      </c>
      <c r="I127" s="6">
        <v>1482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1483.6079</v>
      </c>
    </row>
    <row r="128" spans="1:18">
      <c r="A128" s="3" t="s">
        <v>24</v>
      </c>
      <c r="B128" s="3" t="s">
        <v>91</v>
      </c>
      <c r="C128" s="3" t="s">
        <v>154</v>
      </c>
      <c r="D128" s="6">
        <v>0.2761</v>
      </c>
      <c r="E128" s="6">
        <v>0</v>
      </c>
      <c r="F128" s="6">
        <v>0</v>
      </c>
      <c r="G128" s="6">
        <v>0</v>
      </c>
      <c r="H128" s="6">
        <v>0</v>
      </c>
      <c r="I128" s="6">
        <v>1692.75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1693.0261</v>
      </c>
    </row>
    <row r="129" spans="1:18">
      <c r="A129" s="3" t="s">
        <v>24</v>
      </c>
      <c r="B129" s="3" t="s">
        <v>91</v>
      </c>
      <c r="C129" s="3" t="s">
        <v>155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649.95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649.95</v>
      </c>
    </row>
    <row r="130" spans="1:18">
      <c r="A130" s="3" t="s">
        <v>24</v>
      </c>
      <c r="B130" s="3" t="s">
        <v>91</v>
      </c>
      <c r="C130" s="3" t="s">
        <v>156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56.4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56.4</v>
      </c>
    </row>
    <row r="131" spans="1:18">
      <c r="A131" s="3" t="s">
        <v>24</v>
      </c>
      <c r="B131" s="3" t="s">
        <v>91</v>
      </c>
      <c r="C131" s="3" t="s">
        <v>157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0</v>
      </c>
    </row>
    <row r="132" spans="1:18">
      <c r="A132" s="3" t="s">
        <v>24</v>
      </c>
      <c r="B132" s="3" t="s">
        <v>91</v>
      </c>
      <c r="C132" s="3" t="s">
        <v>158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99.9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99.9</v>
      </c>
    </row>
    <row r="133" spans="1:18">
      <c r="A133" s="3" t="s">
        <v>24</v>
      </c>
      <c r="B133" s="3" t="s">
        <v>91</v>
      </c>
      <c r="C133" s="3" t="s">
        <v>159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534.15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534.15</v>
      </c>
    </row>
    <row r="134" spans="1:18">
      <c r="A134" s="3" t="s">
        <v>24</v>
      </c>
      <c r="B134" s="3" t="s">
        <v>91</v>
      </c>
      <c r="C134" s="3" t="s">
        <v>160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631.2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65" si="4">SUM(D134:Q134)</f>
        <v>631.2</v>
      </c>
    </row>
    <row r="135" spans="1:18">
      <c r="A135" s="3" t="s">
        <v>24</v>
      </c>
      <c r="B135" s="3" t="s">
        <v>91</v>
      </c>
      <c r="C135" s="3" t="s">
        <v>161</v>
      </c>
      <c r="D135" s="6">
        <v>1.7965</v>
      </c>
      <c r="E135" s="6">
        <v>0</v>
      </c>
      <c r="F135" s="6">
        <v>0</v>
      </c>
      <c r="G135" s="6">
        <v>697.599975585938</v>
      </c>
      <c r="H135" s="6">
        <v>0</v>
      </c>
      <c r="I135" s="6">
        <v>5760.75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6460.14647558594</v>
      </c>
    </row>
    <row r="136" spans="1:18">
      <c r="A136" s="3" t="s">
        <v>24</v>
      </c>
      <c r="B136" s="3" t="s">
        <v>91</v>
      </c>
      <c r="C136" s="3" t="s">
        <v>162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222.6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222.6</v>
      </c>
    </row>
    <row r="137" spans="1:18">
      <c r="A137" s="3" t="s">
        <v>24</v>
      </c>
      <c r="B137" s="3" t="s">
        <v>91</v>
      </c>
      <c r="C137" s="3" t="s">
        <v>163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3314.1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3314.1</v>
      </c>
    </row>
    <row r="138" spans="1:18">
      <c r="A138" s="3" t="s">
        <v>24</v>
      </c>
      <c r="B138" s="3" t="s">
        <v>91</v>
      </c>
      <c r="C138" s="3" t="s">
        <v>164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1626.45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1626.45</v>
      </c>
    </row>
    <row r="139" spans="1:18">
      <c r="A139" s="3" t="s">
        <v>24</v>
      </c>
      <c r="B139" s="3" t="s">
        <v>91</v>
      </c>
      <c r="C139" s="3" t="s">
        <v>165</v>
      </c>
      <c r="D139" s="6">
        <v>1.7266</v>
      </c>
      <c r="E139" s="6">
        <v>0</v>
      </c>
      <c r="F139" s="6">
        <v>0</v>
      </c>
      <c r="G139" s="6">
        <v>0</v>
      </c>
      <c r="H139" s="6">
        <v>0</v>
      </c>
      <c r="I139" s="6">
        <v>219.9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221.6266</v>
      </c>
    </row>
    <row r="140" spans="1:18">
      <c r="A140" s="3" t="s">
        <v>24</v>
      </c>
      <c r="B140" s="3" t="s">
        <v>91</v>
      </c>
      <c r="C140" s="3" t="s">
        <v>166</v>
      </c>
      <c r="D140" s="6">
        <v>0.9882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0.9882</v>
      </c>
    </row>
    <row r="141" spans="1:18">
      <c r="A141" s="3" t="s">
        <v>24</v>
      </c>
      <c r="B141" s="3" t="s">
        <v>167</v>
      </c>
      <c r="C141" s="3" t="s">
        <v>168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3274.35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3274.35</v>
      </c>
    </row>
    <row r="142" spans="1:18">
      <c r="A142" s="3" t="s">
        <v>24</v>
      </c>
      <c r="B142" s="3" t="s">
        <v>167</v>
      </c>
      <c r="C142" s="3" t="s">
        <v>169</v>
      </c>
      <c r="D142" s="6">
        <v>3.7532</v>
      </c>
      <c r="E142" s="6">
        <v>0</v>
      </c>
      <c r="F142" s="6">
        <v>0</v>
      </c>
      <c r="G142" s="6">
        <v>2651.60009765625</v>
      </c>
      <c r="H142" s="6">
        <v>0</v>
      </c>
      <c r="I142" s="6">
        <v>16028.85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18684.2032976563</v>
      </c>
    </row>
    <row r="143" spans="1:18">
      <c r="A143" s="3" t="s">
        <v>24</v>
      </c>
      <c r="B143" s="3" t="s">
        <v>167</v>
      </c>
      <c r="C143" s="3" t="s">
        <v>170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0</v>
      </c>
    </row>
    <row r="144" spans="1:18">
      <c r="A144" s="3" t="s">
        <v>24</v>
      </c>
      <c r="B144" s="3" t="s">
        <v>167</v>
      </c>
      <c r="C144" s="3" t="s">
        <v>171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392330.1</v>
      </c>
      <c r="J144" s="6">
        <v>72627.3515625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464957.4515625</v>
      </c>
    </row>
    <row r="145" spans="1:18">
      <c r="A145" s="3" t="s">
        <v>24</v>
      </c>
      <c r="B145" s="3" t="s">
        <v>167</v>
      </c>
      <c r="C145" s="3" t="s">
        <v>172</v>
      </c>
      <c r="D145" s="6">
        <v>1.2314</v>
      </c>
      <c r="E145" s="6">
        <v>0</v>
      </c>
      <c r="F145" s="6">
        <v>0</v>
      </c>
      <c r="G145" s="6">
        <v>0</v>
      </c>
      <c r="H145" s="6">
        <v>0</v>
      </c>
      <c r="I145" s="6">
        <v>293579.7</v>
      </c>
      <c r="J145" s="6">
        <v>98275.5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391856.4314</v>
      </c>
    </row>
    <row r="146" spans="1:18">
      <c r="A146" s="3" t="s">
        <v>24</v>
      </c>
      <c r="B146" s="3" t="s">
        <v>167</v>
      </c>
      <c r="C146" s="3" t="s">
        <v>173</v>
      </c>
      <c r="D146" s="6">
        <v>2.6051</v>
      </c>
      <c r="E146" s="6">
        <v>0</v>
      </c>
      <c r="F146" s="6">
        <v>0</v>
      </c>
      <c r="G146" s="6">
        <v>0</v>
      </c>
      <c r="H146" s="6">
        <v>0</v>
      </c>
      <c r="I146" s="6">
        <v>55709.55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55712.1551</v>
      </c>
    </row>
    <row r="147" spans="1:18">
      <c r="A147" s="3" t="s">
        <v>24</v>
      </c>
      <c r="B147" s="3" t="s">
        <v>167</v>
      </c>
      <c r="C147" s="3" t="s">
        <v>174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0</v>
      </c>
    </row>
    <row r="148" spans="1:18">
      <c r="A148" s="3" t="s">
        <v>24</v>
      </c>
      <c r="B148" s="3" t="s">
        <v>167</v>
      </c>
      <c r="C148" s="3" t="s">
        <v>175</v>
      </c>
      <c r="D148" s="6">
        <v>3.0733</v>
      </c>
      <c r="E148" s="6">
        <v>0</v>
      </c>
      <c r="F148" s="6">
        <v>0</v>
      </c>
      <c r="G148" s="6">
        <v>0</v>
      </c>
      <c r="H148" s="6">
        <v>0</v>
      </c>
      <c r="I148" s="6">
        <v>468570.75</v>
      </c>
      <c r="J148" s="6">
        <v>256154.640625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724728.463925</v>
      </c>
    </row>
    <row r="149" spans="1:18">
      <c r="A149" s="3" t="s">
        <v>24</v>
      </c>
      <c r="B149" s="3" t="s">
        <v>167</v>
      </c>
      <c r="C149" s="3" t="s">
        <v>176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687.45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687.45</v>
      </c>
    </row>
    <row r="150" spans="1:18">
      <c r="A150" s="3" t="s">
        <v>24</v>
      </c>
      <c r="B150" s="3" t="s">
        <v>167</v>
      </c>
      <c r="C150" s="3" t="s">
        <v>177</v>
      </c>
      <c r="D150" s="6">
        <v>3.3438</v>
      </c>
      <c r="E150" s="6">
        <v>0</v>
      </c>
      <c r="F150" s="6">
        <v>0</v>
      </c>
      <c r="G150" s="6">
        <v>0</v>
      </c>
      <c r="H150" s="6">
        <v>0</v>
      </c>
      <c r="I150" s="6">
        <v>214134</v>
      </c>
      <c r="J150" s="6">
        <v>91753.203125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305890.546925</v>
      </c>
    </row>
    <row r="151" spans="1:18">
      <c r="A151" s="3" t="s">
        <v>24</v>
      </c>
      <c r="B151" s="3" t="s">
        <v>167</v>
      </c>
      <c r="C151" s="3" t="s">
        <v>178</v>
      </c>
      <c r="D151" s="6">
        <v>5.1077</v>
      </c>
      <c r="E151" s="6">
        <v>0</v>
      </c>
      <c r="F151" s="6">
        <v>0</v>
      </c>
      <c r="G151" s="6">
        <v>1724.80004882812</v>
      </c>
      <c r="H151" s="6">
        <v>0</v>
      </c>
      <c r="I151" s="6">
        <v>236851.2</v>
      </c>
      <c r="J151" s="6">
        <v>128054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366635.107748828</v>
      </c>
    </row>
    <row r="152" spans="1:18">
      <c r="A152" s="3" t="s">
        <v>24</v>
      </c>
      <c r="B152" s="3" t="s">
        <v>167</v>
      </c>
      <c r="C152" s="3" t="s">
        <v>179</v>
      </c>
      <c r="D152" s="6">
        <v>3.547</v>
      </c>
      <c r="E152" s="6">
        <v>0</v>
      </c>
      <c r="F152" s="6">
        <v>0</v>
      </c>
      <c r="G152" s="6">
        <v>0</v>
      </c>
      <c r="H152" s="6">
        <v>0</v>
      </c>
      <c r="I152" s="6">
        <v>119975.25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119978.797</v>
      </c>
    </row>
    <row r="153" spans="1:18">
      <c r="A153" s="3" t="s">
        <v>24</v>
      </c>
      <c r="B153" s="3" t="s">
        <v>167</v>
      </c>
      <c r="C153" s="3" t="s">
        <v>180</v>
      </c>
      <c r="D153" s="6">
        <v>1.1878</v>
      </c>
      <c r="E153" s="6">
        <v>0</v>
      </c>
      <c r="F153" s="6">
        <v>0</v>
      </c>
      <c r="G153" s="6">
        <v>0</v>
      </c>
      <c r="H153" s="6">
        <v>0</v>
      </c>
      <c r="I153" s="6">
        <v>19308.9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19310.0878</v>
      </c>
    </row>
    <row r="154" spans="1:18">
      <c r="A154" s="3" t="s">
        <v>24</v>
      </c>
      <c r="B154" s="3" t="s">
        <v>167</v>
      </c>
      <c r="C154" s="3" t="s">
        <v>181</v>
      </c>
      <c r="D154" s="6">
        <v>1.5199</v>
      </c>
      <c r="E154" s="6">
        <v>0</v>
      </c>
      <c r="F154" s="6">
        <v>0</v>
      </c>
      <c r="G154" s="6">
        <v>0</v>
      </c>
      <c r="H154" s="6">
        <v>0</v>
      </c>
      <c r="I154" s="6">
        <v>120684.45</v>
      </c>
      <c r="J154" s="6">
        <v>257674.265625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378360.235525</v>
      </c>
    </row>
    <row r="155" spans="1:18">
      <c r="A155" s="3" t="s">
        <v>24</v>
      </c>
      <c r="B155" s="3" t="s">
        <v>167</v>
      </c>
      <c r="C155" s="3" t="s">
        <v>182</v>
      </c>
      <c r="D155" s="6">
        <v>0.9326</v>
      </c>
      <c r="E155" s="6">
        <v>0</v>
      </c>
      <c r="F155" s="6">
        <v>0</v>
      </c>
      <c r="G155" s="6">
        <v>0</v>
      </c>
      <c r="H155" s="6">
        <v>0</v>
      </c>
      <c r="I155" s="6">
        <v>11945.85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11946.7826</v>
      </c>
    </row>
    <row r="156" spans="1:18">
      <c r="A156" s="3" t="s">
        <v>24</v>
      </c>
      <c r="B156" s="3" t="s">
        <v>167</v>
      </c>
      <c r="C156" s="3" t="s">
        <v>183</v>
      </c>
      <c r="D156" s="6">
        <v>4.2314</v>
      </c>
      <c r="E156" s="6">
        <v>0</v>
      </c>
      <c r="F156" s="6">
        <v>0</v>
      </c>
      <c r="G156" s="6">
        <v>2686.39990234375</v>
      </c>
      <c r="H156" s="6">
        <v>0</v>
      </c>
      <c r="I156" s="6">
        <v>544540.5</v>
      </c>
      <c r="J156" s="6">
        <v>136968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684199.131302344</v>
      </c>
    </row>
    <row r="157" spans="1:18">
      <c r="A157" s="3" t="s">
        <v>24</v>
      </c>
      <c r="B157" s="3" t="s">
        <v>167</v>
      </c>
      <c r="C157" s="3" t="s">
        <v>184</v>
      </c>
      <c r="D157" s="6">
        <v>8.2061</v>
      </c>
      <c r="E157" s="6">
        <v>0</v>
      </c>
      <c r="F157" s="6">
        <v>0</v>
      </c>
      <c r="G157" s="6">
        <v>0</v>
      </c>
      <c r="H157" s="6">
        <v>0</v>
      </c>
      <c r="I157" s="6">
        <v>4751.55</v>
      </c>
      <c r="J157" s="6">
        <v>2475.82006835938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7235.57616835938</v>
      </c>
    </row>
    <row r="158" spans="1:18">
      <c r="A158" s="3" t="s">
        <v>24</v>
      </c>
      <c r="B158" s="3" t="s">
        <v>185</v>
      </c>
      <c r="C158" s="3" t="s">
        <v>186</v>
      </c>
      <c r="D158" s="6">
        <v>0.1984</v>
      </c>
      <c r="E158" s="6">
        <v>0</v>
      </c>
      <c r="F158" s="6">
        <v>0</v>
      </c>
      <c r="G158" s="6">
        <v>0</v>
      </c>
      <c r="H158" s="6">
        <v>0</v>
      </c>
      <c r="I158" s="6">
        <v>3.45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3.6484</v>
      </c>
    </row>
    <row r="159" spans="1:18">
      <c r="A159" s="3" t="s">
        <v>24</v>
      </c>
      <c r="B159" s="3" t="s">
        <v>185</v>
      </c>
      <c r="C159" s="3" t="s">
        <v>187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114.6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114.6</v>
      </c>
    </row>
    <row r="160" spans="1:18">
      <c r="A160" s="3" t="s">
        <v>24</v>
      </c>
      <c r="B160" s="3" t="s">
        <v>185</v>
      </c>
      <c r="C160" s="3" t="s">
        <v>188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406.05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406.05</v>
      </c>
    </row>
    <row r="161" spans="1:18">
      <c r="A161" s="3" t="s">
        <v>24</v>
      </c>
      <c r="B161" s="3" t="s">
        <v>185</v>
      </c>
      <c r="C161" s="3" t="s">
        <v>189</v>
      </c>
      <c r="D161" s="6">
        <v>0.8413</v>
      </c>
      <c r="E161" s="6">
        <v>0</v>
      </c>
      <c r="F161" s="6">
        <v>0</v>
      </c>
      <c r="G161" s="6">
        <v>0</v>
      </c>
      <c r="H161" s="6">
        <v>0</v>
      </c>
      <c r="I161" s="6">
        <v>121.95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122.7913</v>
      </c>
    </row>
    <row r="162" spans="1:18">
      <c r="A162" s="3" t="s">
        <v>24</v>
      </c>
      <c r="B162" s="3" t="s">
        <v>185</v>
      </c>
      <c r="C162" s="3" t="s">
        <v>190</v>
      </c>
      <c r="D162" s="6">
        <v>1.7633</v>
      </c>
      <c r="E162" s="6">
        <v>0</v>
      </c>
      <c r="F162" s="6">
        <v>0</v>
      </c>
      <c r="G162" s="6">
        <v>2356.39990234375</v>
      </c>
      <c r="H162" s="6">
        <v>0</v>
      </c>
      <c r="I162" s="6">
        <v>2.1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2360.26320234375</v>
      </c>
    </row>
    <row r="163" spans="1:18">
      <c r="A163" s="3" t="s">
        <v>24</v>
      </c>
      <c r="B163" s="3" t="s">
        <v>185</v>
      </c>
      <c r="C163" s="3" t="s">
        <v>191</v>
      </c>
      <c r="D163" s="6">
        <v>0.0011</v>
      </c>
      <c r="E163" s="6">
        <v>0</v>
      </c>
      <c r="F163" s="6">
        <v>0</v>
      </c>
      <c r="G163" s="6">
        <v>10.3999996185303</v>
      </c>
      <c r="H163" s="6">
        <v>0</v>
      </c>
      <c r="I163" s="6">
        <v>35.55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45.9510996185303</v>
      </c>
    </row>
    <row r="164" spans="1:18">
      <c r="A164" s="3" t="s">
        <v>24</v>
      </c>
      <c r="B164" s="3" t="s">
        <v>185</v>
      </c>
      <c r="C164" s="3" t="s">
        <v>192</v>
      </c>
      <c r="D164" s="6">
        <v>2.4487</v>
      </c>
      <c r="E164" s="6">
        <v>0</v>
      </c>
      <c r="F164" s="6">
        <v>0</v>
      </c>
      <c r="G164" s="6">
        <v>1575.19995117187</v>
      </c>
      <c r="H164" s="6">
        <v>0</v>
      </c>
      <c r="I164" s="6">
        <v>14.7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1592.34865117187</v>
      </c>
    </row>
    <row r="165" spans="1:18">
      <c r="A165" s="3" t="s">
        <v>24</v>
      </c>
      <c r="B165" s="3" t="s">
        <v>185</v>
      </c>
      <c r="C165" s="3" t="s">
        <v>193</v>
      </c>
      <c r="D165" s="6">
        <v>0.4504</v>
      </c>
      <c r="E165" s="6">
        <v>0</v>
      </c>
      <c r="F165" s="6">
        <v>0</v>
      </c>
      <c r="G165" s="6">
        <v>0</v>
      </c>
      <c r="H165" s="6">
        <v>0</v>
      </c>
      <c r="I165" s="6">
        <v>29.4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29.8504</v>
      </c>
    </row>
    <row r="166" spans="1:18">
      <c r="A166" s="3" t="s">
        <v>24</v>
      </c>
      <c r="B166" s="3" t="s">
        <v>185</v>
      </c>
      <c r="C166" s="3" t="s">
        <v>194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0.15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ref="R166:R185" si="5">SUM(D166:Q166)</f>
        <v>0.15</v>
      </c>
    </row>
    <row r="167" spans="1:18">
      <c r="A167" s="3" t="s">
        <v>24</v>
      </c>
      <c r="B167" s="3" t="s">
        <v>185</v>
      </c>
      <c r="C167" s="3" t="s">
        <v>195</v>
      </c>
      <c r="D167" s="6">
        <v>1.2683</v>
      </c>
      <c r="E167" s="6">
        <v>0</v>
      </c>
      <c r="F167" s="6">
        <v>0</v>
      </c>
      <c r="G167" s="6">
        <v>4140</v>
      </c>
      <c r="H167" s="6">
        <v>0</v>
      </c>
      <c r="I167" s="6">
        <v>1.05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5"/>
        <v>4142.3183</v>
      </c>
    </row>
    <row r="168" spans="1:18">
      <c r="A168" s="3" t="s">
        <v>24</v>
      </c>
      <c r="B168" s="3" t="s">
        <v>185</v>
      </c>
      <c r="C168" s="3" t="s">
        <v>196</v>
      </c>
      <c r="D168" s="6">
        <v>0.0227</v>
      </c>
      <c r="E168" s="6">
        <v>0</v>
      </c>
      <c r="F168" s="6">
        <v>0</v>
      </c>
      <c r="G168" s="6">
        <v>0</v>
      </c>
      <c r="H168" s="6">
        <v>0</v>
      </c>
      <c r="I168" s="6">
        <v>43.2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5"/>
        <v>43.2227</v>
      </c>
    </row>
    <row r="169" spans="1:18">
      <c r="A169" s="3" t="s">
        <v>24</v>
      </c>
      <c r="B169" s="3" t="s">
        <v>185</v>
      </c>
      <c r="C169" s="3" t="s">
        <v>197</v>
      </c>
      <c r="D169" s="6">
        <v>2.8548</v>
      </c>
      <c r="E169" s="6">
        <v>0</v>
      </c>
      <c r="F169" s="6">
        <v>0</v>
      </c>
      <c r="G169" s="6">
        <v>5309.60009765625</v>
      </c>
      <c r="H169" s="6">
        <v>0</v>
      </c>
      <c r="I169" s="6">
        <v>1.05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5"/>
        <v>5313.50489765625</v>
      </c>
    </row>
    <row r="170" spans="1:18">
      <c r="A170" s="3" t="s">
        <v>24</v>
      </c>
      <c r="B170" s="3" t="s">
        <v>185</v>
      </c>
      <c r="C170" s="3" t="s">
        <v>198</v>
      </c>
      <c r="D170" s="6">
        <v>0.8406</v>
      </c>
      <c r="E170" s="6">
        <v>0</v>
      </c>
      <c r="F170" s="6">
        <v>0</v>
      </c>
      <c r="G170" s="6">
        <v>974</v>
      </c>
      <c r="H170" s="6">
        <v>0</v>
      </c>
      <c r="I170" s="6">
        <v>307.5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5"/>
        <v>1282.3406</v>
      </c>
    </row>
    <row r="171" spans="1:18">
      <c r="A171" s="3" t="s">
        <v>24</v>
      </c>
      <c r="B171" s="3" t="s">
        <v>185</v>
      </c>
      <c r="C171" s="3" t="s">
        <v>199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89.55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5"/>
        <v>89.55</v>
      </c>
    </row>
    <row r="172" spans="1:18">
      <c r="A172" s="3" t="s">
        <v>24</v>
      </c>
      <c r="B172" s="3" t="s">
        <v>185</v>
      </c>
      <c r="C172" s="3" t="s">
        <v>200</v>
      </c>
      <c r="D172" s="6">
        <v>1.5052</v>
      </c>
      <c r="E172" s="6">
        <v>0</v>
      </c>
      <c r="F172" s="6">
        <v>0</v>
      </c>
      <c r="G172" s="6">
        <v>2875.19995117188</v>
      </c>
      <c r="H172" s="6">
        <v>0</v>
      </c>
      <c r="I172" s="6">
        <v>62.25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2938.95515117188</v>
      </c>
    </row>
    <row r="173" spans="1:18">
      <c r="A173" s="3" t="s">
        <v>24</v>
      </c>
      <c r="B173" s="3" t="s">
        <v>185</v>
      </c>
      <c r="C173" s="3" t="s">
        <v>201</v>
      </c>
      <c r="D173" s="6">
        <v>0.3096</v>
      </c>
      <c r="E173" s="6">
        <v>0</v>
      </c>
      <c r="F173" s="6">
        <v>0</v>
      </c>
      <c r="G173" s="6">
        <v>0</v>
      </c>
      <c r="H173" s="6">
        <v>0</v>
      </c>
      <c r="I173" s="6">
        <v>66.9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67.2096</v>
      </c>
    </row>
    <row r="174" spans="1:18">
      <c r="A174" s="3" t="s">
        <v>24</v>
      </c>
      <c r="B174" s="3" t="s">
        <v>185</v>
      </c>
      <c r="C174" s="3" t="s">
        <v>202</v>
      </c>
      <c r="D174" s="6">
        <v>0.3103</v>
      </c>
      <c r="E174" s="6">
        <v>0</v>
      </c>
      <c r="F174" s="6">
        <v>0</v>
      </c>
      <c r="G174" s="6">
        <v>0</v>
      </c>
      <c r="H174" s="6">
        <v>0</v>
      </c>
      <c r="I174" s="6">
        <v>853.95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854.2603</v>
      </c>
    </row>
    <row r="175" spans="1:18">
      <c r="A175" s="3" t="s">
        <v>24</v>
      </c>
      <c r="B175" s="3" t="s">
        <v>185</v>
      </c>
      <c r="C175" s="3" t="s">
        <v>203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0</v>
      </c>
    </row>
    <row r="176" spans="1:18">
      <c r="A176" s="3" t="s">
        <v>24</v>
      </c>
      <c r="B176" s="3" t="s">
        <v>185</v>
      </c>
      <c r="C176" s="3" t="s">
        <v>204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19.5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19.5</v>
      </c>
    </row>
    <row r="177" spans="1:18">
      <c r="A177" s="3" t="s">
        <v>24</v>
      </c>
      <c r="B177" s="3" t="s">
        <v>185</v>
      </c>
      <c r="C177" s="3" t="s">
        <v>205</v>
      </c>
      <c r="D177" s="6">
        <v>3.7858</v>
      </c>
      <c r="E177" s="6">
        <v>0</v>
      </c>
      <c r="F177" s="6">
        <v>0</v>
      </c>
      <c r="G177" s="6">
        <v>2583.60009765625</v>
      </c>
      <c r="H177" s="6">
        <v>0</v>
      </c>
      <c r="I177" s="6">
        <v>159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2746.38589765625</v>
      </c>
    </row>
    <row r="178" spans="1:18">
      <c r="A178" s="3" t="s">
        <v>24</v>
      </c>
      <c r="B178" s="3" t="s">
        <v>185</v>
      </c>
      <c r="C178" s="3" t="s">
        <v>206</v>
      </c>
      <c r="D178" s="6">
        <v>0.4057</v>
      </c>
      <c r="E178" s="6">
        <v>0</v>
      </c>
      <c r="F178" s="6">
        <v>0</v>
      </c>
      <c r="G178" s="6">
        <v>0</v>
      </c>
      <c r="H178" s="6">
        <v>0</v>
      </c>
      <c r="I178" s="6">
        <v>26440.2</v>
      </c>
      <c r="J178" s="6">
        <v>909.75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27350.3557</v>
      </c>
    </row>
    <row r="179" spans="1:18">
      <c r="A179" s="3" t="s">
        <v>24</v>
      </c>
      <c r="B179" s="3" t="s">
        <v>185</v>
      </c>
      <c r="C179" s="3" t="s">
        <v>207</v>
      </c>
      <c r="D179" s="6">
        <v>0.1818</v>
      </c>
      <c r="E179" s="6">
        <v>0</v>
      </c>
      <c r="F179" s="6">
        <v>0</v>
      </c>
      <c r="G179" s="6">
        <v>0</v>
      </c>
      <c r="H179" s="6">
        <v>0</v>
      </c>
      <c r="I179" s="6">
        <v>0.6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0.7818</v>
      </c>
    </row>
    <row r="180" spans="1:18">
      <c r="A180" s="3" t="s">
        <v>24</v>
      </c>
      <c r="B180" s="3" t="s">
        <v>185</v>
      </c>
      <c r="C180" s="3" t="s">
        <v>208</v>
      </c>
      <c r="D180" s="6">
        <v>12.1618</v>
      </c>
      <c r="E180" s="6">
        <v>0</v>
      </c>
      <c r="F180" s="6">
        <v>0</v>
      </c>
      <c r="G180" s="6">
        <v>4785.60009765625</v>
      </c>
      <c r="H180" s="6">
        <v>0</v>
      </c>
      <c r="I180" s="6">
        <v>287.85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5085.61189765625</v>
      </c>
    </row>
    <row r="181" spans="1:18">
      <c r="A181" s="3" t="s">
        <v>24</v>
      </c>
      <c r="B181" s="3" t="s">
        <v>185</v>
      </c>
      <c r="C181" s="3" t="s">
        <v>209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0</v>
      </c>
    </row>
    <row r="182" spans="1:18">
      <c r="A182" s="3" t="s">
        <v>24</v>
      </c>
      <c r="B182" s="3" t="s">
        <v>185</v>
      </c>
      <c r="C182" s="3" t="s">
        <v>210</v>
      </c>
      <c r="D182" s="6">
        <v>1.5599</v>
      </c>
      <c r="E182" s="6">
        <v>0</v>
      </c>
      <c r="F182" s="6">
        <v>0</v>
      </c>
      <c r="G182" s="6">
        <v>2211.60009765625</v>
      </c>
      <c r="H182" s="6">
        <v>0</v>
      </c>
      <c r="I182" s="6">
        <v>16.2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2229.35999765625</v>
      </c>
    </row>
    <row r="183" spans="1:18">
      <c r="A183" s="3" t="s">
        <v>24</v>
      </c>
      <c r="B183" s="3" t="s">
        <v>185</v>
      </c>
      <c r="C183" s="3" t="s">
        <v>211</v>
      </c>
      <c r="D183" s="6">
        <v>2.4883</v>
      </c>
      <c r="E183" s="6">
        <v>0</v>
      </c>
      <c r="F183" s="6">
        <v>0</v>
      </c>
      <c r="G183" s="6">
        <v>2830.80004882813</v>
      </c>
      <c r="H183" s="6">
        <v>0</v>
      </c>
      <c r="I183" s="6">
        <v>274.8</v>
      </c>
      <c r="J183" s="6">
        <v>10958.5400390625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14066.6283878906</v>
      </c>
    </row>
    <row r="184" spans="1:18">
      <c r="A184" s="3" t="s">
        <v>24</v>
      </c>
      <c r="B184" s="3"/>
      <c r="C184" s="3" t="s">
        <v>212</v>
      </c>
      <c r="D184" s="6">
        <v>0</v>
      </c>
      <c r="E184" s="6">
        <v>617894.125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5"/>
        <v>617894.125</v>
      </c>
    </row>
    <row r="185" spans="1:18">
      <c r="A185" s="3" t="s">
        <v>24</v>
      </c>
      <c r="B185" s="3"/>
      <c r="C185" s="3" t="s">
        <v>213</v>
      </c>
      <c r="D185" s="6">
        <v>0</v>
      </c>
      <c r="E185" s="6">
        <v>338929.25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5"/>
        <v>338929.25</v>
      </c>
    </row>
  </sheetData>
  <mergeCells count="1">
    <mergeCell ref="A1:R1"/>
  </mergeCells>
  <pageMargins left="0.699305555555556" right="0.699305555555556" top="0.75" bottom="0.75" header="0.3" footer="0.3"/>
  <pageSetup paperSize="9" orientation="portrait"/>
  <headerFooter/>
  <ignoredErrors>
    <ignoredError sqref="H3 C2 I2 I3 J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adminsys</cp:lastModifiedBy>
  <dcterms:created xsi:type="dcterms:W3CDTF">2022-09-28T06:10:00Z</dcterms:created>
  <dcterms:modified xsi:type="dcterms:W3CDTF">2025-09-08T15:07:12Z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