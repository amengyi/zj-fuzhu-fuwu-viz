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工作表" sheetId="1" r:id="rId1"/>
  </sheets>
  <definedNames>
    <definedName name="_xlnm._FilterDatabase" localSheetId="0" hidden="1">工作表!$A$4:$R$204</definedName>
  </definedNames>
  <calcPr calcId="144525"/>
</workbook>
</file>

<file path=xl/sharedStrings.xml><?xml version="1.0" encoding="utf-8"?>
<sst xmlns="http://schemas.openxmlformats.org/spreadsheetml/2006/main" count="637" uniqueCount="234">
  <si>
    <t>2026年09月补偿分项费用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</si>
  <si>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</si>
  <si>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</si>
  <si>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</si>
  <si>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</si>
  <si>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</si>
  <si>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</si>
  <si>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</si>
  <si>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</si>
  <si>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</si>
  <si>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</si>
  <si>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</si>
  <si>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</si>
  <si>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</si>
  <si>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</si>
  <si>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补偿费用</t>
  </si>
  <si>
    <t>调度</t>
  </si>
  <si>
    <t>类型</t>
  </si>
  <si>
    <t>并网主体</t>
  </si>
  <si>
    <t>补偿费用（元）</t>
  </si>
  <si>
    <t>补偿费用(元)</t>
  </si>
  <si>
    <t>合计（元）</t>
  </si>
  <si>
    <t/>
  </si>
  <si>
    <t>本月汇总</t>
  </si>
  <si>
    <t>浙江省调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</si>
  <si>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</si>
  <si>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</si>
  <si>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</si>
  <si>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</si>
  <si>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</si>
  <si>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</si>
  <si>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</si>
  <si>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</si>
  <si>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</si>
  <si>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</si>
  <si>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</si>
  <si>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</si>
  <si>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</si>
  <si>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</si>
  <si>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</si>
  <si>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</si>
  <si>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</si>
  <si>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</si>
  <si>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</si>
  <si>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</si>
  <si>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</si>
  <si>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</si>
  <si>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</si>
  <si>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</si>
  <si>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</si>
  <si>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</si>
  <si>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</si>
  <si>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</si>
  <si>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</si>
  <si>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</si>
  <si>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</si>
  <si>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</si>
  <si>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</si>
  <si>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紧水滩</t>
  </si>
  <si>
    <t>三溪口</t>
  </si>
  <si>
    <t>珊溪厂</t>
  </si>
  <si>
    <t>石水厂</t>
  </si>
  <si>
    <t>滩坑厂</t>
  </si>
  <si>
    <t>乌水厂</t>
  </si>
  <si>
    <t>小溪厂</t>
  </si>
  <si>
    <t>核电</t>
  </si>
  <si>
    <t>秦山厂</t>
  </si>
  <si>
    <t>三澳核电</t>
  </si>
  <si>
    <t>三门厂</t>
  </si>
  <si>
    <t>燃机</t>
  </si>
  <si>
    <t>220kV镇海发电厂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</si>
  <si>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</si>
  <si>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</si>
  <si>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</si>
  <si>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</si>
  <si>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</si>
  <si>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</si>
  <si>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</si>
  <si>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</si>
  <si>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</si>
  <si>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</si>
  <si>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</si>
  <si>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</si>
  <si>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</si>
  <si>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梅溪燃机</t>
  </si>
  <si>
    <t>南峰燃机</t>
  </si>
  <si>
    <t>唐绍厂</t>
  </si>
  <si>
    <t>桐燃厂</t>
  </si>
  <si>
    <t>下沙厂</t>
  </si>
  <si>
    <t>萧燃厂</t>
  </si>
  <si>
    <t>新城厂</t>
  </si>
  <si>
    <t>新泓口</t>
  </si>
  <si>
    <t>浔宝厂</t>
  </si>
  <si>
    <t>婺城燃机</t>
  </si>
  <si>
    <t>光伏</t>
  </si>
  <si>
    <t>安南光伏站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</si>
  <si>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</si>
  <si>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</si>
  <si>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</si>
  <si>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</si>
  <si>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</si>
  <si>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</si>
  <si>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</si>
  <si>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</si>
  <si>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</si>
  <si>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</si>
  <si>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</si>
  <si>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</si>
  <si>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</si>
  <si>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合村光伏站</t>
  </si>
  <si>
    <t>亨泰站</t>
  </si>
  <si>
    <t>宏塔站</t>
  </si>
  <si>
    <t>华博站</t>
  </si>
  <si>
    <t>华芳光伏站</t>
  </si>
  <si>
    <t>华塘站</t>
  </si>
  <si>
    <t>华洋光伏站</t>
  </si>
  <si>
    <t>汇核站</t>
  </si>
  <si>
    <t>汇能站</t>
  </si>
  <si>
    <t>嘉厂站</t>
  </si>
  <si>
    <t>嘉达光伏站</t>
  </si>
  <si>
    <t>佳源站</t>
  </si>
  <si>
    <t>江泰站</t>
  </si>
  <si>
    <t>晶都光伏站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</si>
  <si>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</si>
  <si>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</si>
  <si>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</si>
  <si>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</si>
  <si>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</si>
  <si>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</si>
  <si>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</si>
  <si>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</si>
  <si>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</si>
  <si>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</si>
  <si>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</si>
  <si>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</si>
  <si>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</si>
  <si>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</si>
  <si>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</si>
  <si>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</si>
  <si>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</si>
  <si>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钱凌光伏站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</si>
  <si>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</si>
  <si>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</si>
  <si>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</si>
  <si>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</si>
  <si>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</si>
  <si>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</si>
  <si>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</si>
  <si>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</si>
  <si>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</si>
  <si>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</si>
  <si>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碳银光伏站</t>
  </si>
  <si>
    <t>唐景站</t>
  </si>
  <si>
    <t>唐屿站</t>
  </si>
  <si>
    <t>唐源站</t>
  </si>
  <si>
    <t>唐云光伏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</si>
  <si>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</si>
  <si>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</si>
  <si>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</si>
  <si>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</si>
  <si>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</si>
  <si>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</si>
  <si>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</si>
  <si>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</si>
  <si>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</si>
  <si>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</si>
  <si>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</si>
  <si>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</si>
  <si>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</si>
  <si>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兴能光伏站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</si>
  <si>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</si>
  <si>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</si>
  <si>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</si>
  <si>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</si>
  <si>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</si>
  <si>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</si>
  <si>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</si>
  <si>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梓勋光伏站</t>
  </si>
  <si>
    <t>瓯泰站</t>
  </si>
  <si>
    <t>蛟禾站</t>
  </si>
  <si>
    <t>风电</t>
  </si>
  <si>
    <t>百花场</t>
  </si>
  <si>
    <t>苍海场</t>
  </si>
  <si>
    <t>大衢风电</t>
  </si>
  <si>
    <t>鼎峰场</t>
  </si>
  <si>
    <t>福海风电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</si>
  <si>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</si>
  <si>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</si>
  <si>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</si>
  <si>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</si>
  <si>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</si>
  <si>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</si>
  <si>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</si>
  <si>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</si>
  <si>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</si>
  <si>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</si>
  <si>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</si>
  <si>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</si>
  <si>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</si>
  <si>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</si>
  <si>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抽蓄</t>
  </si>
  <si>
    <t>宁蓄厂</t>
  </si>
  <si>
    <t>虚拟电厂</t>
  </si>
  <si>
    <t>华能浙江能源聚合中心</t>
  </si>
  <si>
    <t>浙能虚拟能源聚合中心</t>
  </si>
  <si>
    <t>储能</t>
  </si>
  <si>
    <t>滨耀储能站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</si>
  <si>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</si>
  <si>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</si>
  <si>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</si>
  <si>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</si>
  <si>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</si>
  <si>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</si>
  <si>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</si>
  <si>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</si>
  <si>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</si>
  <si>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交安储能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</si>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</sst>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5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4"/>
  <sheetViews>
    <sheetView tabSelected="1" workbookViewId="0">
      <pane xSplit="3" ySplit="4" topLeftCell="G5" activePane="bottomRight" state="frozen"/>
      <selection/>
      <selection pane="topRight"/>
      <selection pane="bottomLeft"/>
      <selection pane="bottomRight" activeCell="N206" sqref="N206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3" max="13" width="12.625"/>
    <col min="14" max="14" width="17.75" customWidth="1"/>
    <col min="15" max="15" width="18.125" customWidth="1"/>
    <col min="16" max="16" width="18.5666666666667" customWidth="1"/>
    <col min="17" max="17" width="16.3166666666667" customWidth="1"/>
    <col min="18" max="18" width="12.625"/>
  </cols>
  <sheetData>
    <row r="1" spans="1:17">
      <c r="A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"/>
    </row>
    <row r="2" s="1" customFormat="1" spans="1:18">
      <c r="A2" s="3"/>
      <c r="B2" s="3"/>
      <c r="C2" s="3"/>
      <c r="D2" s="4" t="s">
        <v>1</v>
      </c>
      <c r="E2" s="4" t="s">
        <v>2</v>
      </c>
      <c r="F2" s="4" t="s">
        <v>3</v>
      </c>
      <c r="G2" s="3" t="s">
        <v>4</v>
      </c>
      <c r="H2" s="4" t="s">
        <v>5</v>
      </c>
      <c r="I2" s="3" t="s">
        <v>6</v>
      </c>
      <c r="J2" s="4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8" t="s">
        <v>15</v>
      </c>
    </row>
    <row r="3" s="1" customFormat="1" spans="1:18">
      <c r="A3" s="5" t="s">
        <v>16</v>
      </c>
      <c r="B3" s="5" t="s">
        <v>17</v>
      </c>
      <c r="C3" s="6" t="s">
        <v>18</v>
      </c>
      <c r="D3" s="5" t="s">
        <v>19</v>
      </c>
      <c r="E3" s="5" t="s">
        <v>20</v>
      </c>
      <c r="F3" s="5" t="s">
        <v>19</v>
      </c>
      <c r="G3" s="5" t="s">
        <v>19</v>
      </c>
      <c r="H3" s="5" t="s">
        <v>20</v>
      </c>
      <c r="I3" s="5" t="s">
        <v>19</v>
      </c>
      <c r="J3" s="5" t="s">
        <v>19</v>
      </c>
      <c r="K3" s="5" t="s">
        <v>19</v>
      </c>
      <c r="L3" s="5" t="s">
        <v>19</v>
      </c>
      <c r="M3" s="5" t="s">
        <v>19</v>
      </c>
      <c r="N3" s="5" t="s">
        <v>19</v>
      </c>
      <c r="O3" s="5" t="s">
        <v>19</v>
      </c>
      <c r="P3" s="5" t="s">
        <v>19</v>
      </c>
      <c r="Q3" s="5" t="s">
        <v>19</v>
      </c>
      <c r="R3" s="8" t="s">
        <v>21</v>
      </c>
    </row>
    <row r="4" s="1" customFormat="1" spans="1:18">
      <c r="A4" s="5" t="s">
        <v>22</v>
      </c>
      <c r="B4" s="5" t="s">
        <v>22</v>
      </c>
      <c r="C4" s="5" t="s">
        <v>23</v>
      </c>
      <c r="D4" s="6">
        <f>SUM(D5:D204)</f>
        <v>153186.7842</v>
      </c>
      <c r="E4" s="6">
        <f t="shared" ref="E4:Q4" si="0">SUM(E5:E204)</f>
        <v>4013205.5765</v>
      </c>
      <c r="F4" s="6">
        <f t="shared" si="0"/>
        <v>0</v>
      </c>
      <c r="G4" s="6">
        <f t="shared" si="0"/>
        <v>3910378.4</v>
      </c>
      <c r="H4" s="6">
        <f t="shared" si="0"/>
        <v>0</v>
      </c>
      <c r="I4" s="6">
        <f t="shared" si="0"/>
        <v>5769750.42</v>
      </c>
      <c r="J4" s="6">
        <f t="shared" si="0"/>
        <v>19350615.291</v>
      </c>
      <c r="K4" s="6">
        <f t="shared" si="0"/>
        <v>26660002</v>
      </c>
      <c r="L4" s="6">
        <f t="shared" si="0"/>
        <v>0</v>
      </c>
      <c r="M4" s="6">
        <f t="shared" si="0"/>
        <v>230452.4625</v>
      </c>
      <c r="N4" s="6">
        <f t="shared" si="0"/>
        <v>0</v>
      </c>
      <c r="O4" s="6">
        <f t="shared" si="0"/>
        <v>0</v>
      </c>
      <c r="P4" s="6">
        <f t="shared" si="0"/>
        <v>0</v>
      </c>
      <c r="Q4" s="6">
        <f t="shared" si="0"/>
        <v>320000</v>
      </c>
      <c r="R4" s="1">
        <f>SUM(R5:R1048576)</f>
        <v>60407590.9342</v>
      </c>
    </row>
    <row r="5" spans="1:18">
      <c r="A5" s="5" t="s">
        <v>24</v>
      </c>
      <c r="B5" s="5" t="s">
        <v>25</v>
      </c>
      <c r="C5" s="5" t="s">
        <v>26</v>
      </c>
      <c r="D5" s="6">
        <v>5785.943</v>
      </c>
      <c r="E5" s="6">
        <v>0</v>
      </c>
      <c r="F5" s="6">
        <v>0</v>
      </c>
      <c r="G5" s="6">
        <v>208542.8</v>
      </c>
      <c r="H5" s="6">
        <v>0</v>
      </c>
      <c r="I5" s="6">
        <v>2351.8005</v>
      </c>
      <c r="J5" s="6">
        <v>631930.2</v>
      </c>
      <c r="K5" s="6">
        <v>560809.5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9">
        <f>SUM(D5:Q5)</f>
        <v>1409420.2435</v>
      </c>
    </row>
    <row r="6" spans="1:18">
      <c r="A6" s="5" t="s">
        <v>24</v>
      </c>
      <c r="B6" s="5" t="s">
        <v>25</v>
      </c>
      <c r="C6" s="5" t="s">
        <v>27</v>
      </c>
      <c r="D6" s="6">
        <v>2110.7248</v>
      </c>
      <c r="E6" s="6">
        <v>0</v>
      </c>
      <c r="F6" s="6">
        <v>0</v>
      </c>
      <c r="G6" s="6">
        <v>28712</v>
      </c>
      <c r="H6" s="6">
        <v>0</v>
      </c>
      <c r="I6" s="6">
        <v>3096.6105</v>
      </c>
      <c r="J6" s="6">
        <v>391708.8</v>
      </c>
      <c r="K6" s="6">
        <v>349424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9">
        <f t="shared" ref="R6:R37" si="1">SUM(D6:Q6)</f>
        <v>775052.1353</v>
      </c>
    </row>
    <row r="7" spans="1:18">
      <c r="A7" s="5" t="s">
        <v>24</v>
      </c>
      <c r="B7" s="5" t="s">
        <v>25</v>
      </c>
      <c r="C7" s="5" t="s">
        <v>28</v>
      </c>
      <c r="D7" s="6">
        <v>6670.0537</v>
      </c>
      <c r="E7" s="6">
        <v>0</v>
      </c>
      <c r="F7" s="6">
        <v>0</v>
      </c>
      <c r="G7" s="6">
        <v>196318</v>
      </c>
      <c r="H7" s="6">
        <v>0</v>
      </c>
      <c r="I7" s="6">
        <v>0</v>
      </c>
      <c r="J7" s="6">
        <v>743174.25</v>
      </c>
      <c r="K7" s="6">
        <v>859864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9">
        <f t="shared" si="1"/>
        <v>1806026.3037</v>
      </c>
    </row>
    <row r="8" spans="1:18">
      <c r="A8" s="5" t="s">
        <v>24</v>
      </c>
      <c r="B8" s="5" t="s">
        <v>25</v>
      </c>
      <c r="C8" s="5" t="s">
        <v>29</v>
      </c>
      <c r="D8" s="6">
        <v>6207.8749</v>
      </c>
      <c r="E8" s="6">
        <v>0</v>
      </c>
      <c r="F8" s="6">
        <v>0</v>
      </c>
      <c r="G8" s="6">
        <v>72562.4</v>
      </c>
      <c r="H8" s="6">
        <v>0</v>
      </c>
      <c r="I8" s="6">
        <v>0</v>
      </c>
      <c r="J8" s="6">
        <v>713740</v>
      </c>
      <c r="K8" s="6">
        <v>650187.5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9">
        <f t="shared" si="1"/>
        <v>1442697.7749</v>
      </c>
    </row>
    <row r="9" spans="1:18">
      <c r="A9" s="5" t="s">
        <v>24</v>
      </c>
      <c r="B9" s="5" t="s">
        <v>25</v>
      </c>
      <c r="C9" s="5" t="s">
        <v>30</v>
      </c>
      <c r="D9" s="6">
        <v>5769.6176</v>
      </c>
      <c r="E9" s="6">
        <v>0</v>
      </c>
      <c r="F9" s="6">
        <v>0</v>
      </c>
      <c r="G9" s="6">
        <v>80034</v>
      </c>
      <c r="H9" s="6">
        <v>0</v>
      </c>
      <c r="I9" s="6">
        <v>0</v>
      </c>
      <c r="J9" s="6">
        <v>717925</v>
      </c>
      <c r="K9" s="6">
        <v>971701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9">
        <f t="shared" si="1"/>
        <v>1775429.6176</v>
      </c>
    </row>
    <row r="10" spans="1:18">
      <c r="A10" s="5" t="s">
        <v>24</v>
      </c>
      <c r="B10" s="5" t="s">
        <v>25</v>
      </c>
      <c r="C10" s="5" t="s">
        <v>31</v>
      </c>
      <c r="D10" s="6">
        <v>5204.9527</v>
      </c>
      <c r="E10" s="6">
        <v>0</v>
      </c>
      <c r="F10" s="6">
        <v>0</v>
      </c>
      <c r="G10" s="6">
        <v>79694.8</v>
      </c>
      <c r="H10" s="6">
        <v>0</v>
      </c>
      <c r="I10" s="6">
        <v>5408.019</v>
      </c>
      <c r="J10" s="6">
        <v>590003.6</v>
      </c>
      <c r="K10" s="6">
        <v>554674.5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9">
        <f t="shared" si="1"/>
        <v>1234985.8717</v>
      </c>
    </row>
    <row r="11" spans="1:18">
      <c r="A11" s="5" t="s">
        <v>24</v>
      </c>
      <c r="B11" s="5" t="s">
        <v>25</v>
      </c>
      <c r="C11" s="5" t="s">
        <v>32</v>
      </c>
      <c r="D11" s="6">
        <v>2511.0463</v>
      </c>
      <c r="E11" s="6">
        <v>0</v>
      </c>
      <c r="F11" s="6">
        <v>0</v>
      </c>
      <c r="G11" s="6">
        <v>84004</v>
      </c>
      <c r="H11" s="6">
        <v>0</v>
      </c>
      <c r="I11" s="6">
        <v>492657.9285</v>
      </c>
      <c r="J11" s="6">
        <v>195065.925</v>
      </c>
      <c r="K11" s="6">
        <v>510110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9">
        <f t="shared" si="1"/>
        <v>1284348.8998</v>
      </c>
    </row>
    <row r="12" spans="1:18">
      <c r="A12" s="5" t="s">
        <v>24</v>
      </c>
      <c r="B12" s="5" t="s">
        <v>25</v>
      </c>
      <c r="C12" s="5" t="s">
        <v>33</v>
      </c>
      <c r="D12" s="6">
        <v>4432.7314</v>
      </c>
      <c r="E12" s="6">
        <v>0</v>
      </c>
      <c r="F12" s="6">
        <v>0</v>
      </c>
      <c r="G12" s="6">
        <v>169594</v>
      </c>
      <c r="H12" s="6">
        <v>0</v>
      </c>
      <c r="I12" s="6">
        <v>2686.1865</v>
      </c>
      <c r="J12" s="6">
        <v>395453.85</v>
      </c>
      <c r="K12" s="6">
        <v>814971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9">
        <f t="shared" si="1"/>
        <v>1387137.7679</v>
      </c>
    </row>
    <row r="13" spans="1:18">
      <c r="A13" s="5" t="s">
        <v>24</v>
      </c>
      <c r="B13" s="5" t="s">
        <v>25</v>
      </c>
      <c r="C13" s="5" t="s">
        <v>34</v>
      </c>
      <c r="D13" s="6">
        <v>1735.231</v>
      </c>
      <c r="E13" s="6">
        <v>0</v>
      </c>
      <c r="F13" s="6">
        <v>0</v>
      </c>
      <c r="G13" s="6">
        <v>24050.4</v>
      </c>
      <c r="H13" s="6">
        <v>0</v>
      </c>
      <c r="I13" s="6">
        <v>25090.3965</v>
      </c>
      <c r="J13" s="6">
        <v>371283</v>
      </c>
      <c r="K13" s="6">
        <v>882399.5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9">
        <f t="shared" si="1"/>
        <v>1304558.5275</v>
      </c>
    </row>
    <row r="14" spans="1:18">
      <c r="A14" s="5" t="s">
        <v>24</v>
      </c>
      <c r="B14" s="5" t="s">
        <v>25</v>
      </c>
      <c r="C14" s="5" t="s">
        <v>35</v>
      </c>
      <c r="D14" s="6">
        <v>3778.7288</v>
      </c>
      <c r="E14" s="6">
        <v>0</v>
      </c>
      <c r="F14" s="6">
        <v>0</v>
      </c>
      <c r="G14" s="6">
        <v>51671.2</v>
      </c>
      <c r="H14" s="6">
        <v>0</v>
      </c>
      <c r="I14" s="6">
        <v>140.2995</v>
      </c>
      <c r="J14" s="6">
        <v>564430</v>
      </c>
      <c r="K14" s="6">
        <v>509968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9">
        <f t="shared" si="1"/>
        <v>1129988.2283</v>
      </c>
    </row>
    <row r="15" spans="1:18">
      <c r="A15" s="5" t="s">
        <v>24</v>
      </c>
      <c r="B15" s="5" t="s">
        <v>25</v>
      </c>
      <c r="C15" s="5" t="s">
        <v>36</v>
      </c>
      <c r="D15" s="6">
        <v>13273.4142</v>
      </c>
      <c r="E15" s="6">
        <v>0</v>
      </c>
      <c r="F15" s="6">
        <v>0</v>
      </c>
      <c r="G15" s="6">
        <v>365900</v>
      </c>
      <c r="H15" s="6">
        <v>0</v>
      </c>
      <c r="I15" s="6">
        <v>17517.972</v>
      </c>
      <c r="J15" s="6">
        <v>1528042.95</v>
      </c>
      <c r="K15" s="6">
        <v>2160582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9">
        <f t="shared" si="1"/>
        <v>4085316.3362</v>
      </c>
    </row>
    <row r="16" spans="1:18">
      <c r="A16" s="5" t="s">
        <v>24</v>
      </c>
      <c r="B16" s="5" t="s">
        <v>25</v>
      </c>
      <c r="C16" s="5" t="s">
        <v>37</v>
      </c>
      <c r="D16" s="6">
        <v>2289.144</v>
      </c>
      <c r="E16" s="6">
        <v>0</v>
      </c>
      <c r="F16" s="6">
        <v>0</v>
      </c>
      <c r="G16" s="6">
        <v>95220.8</v>
      </c>
      <c r="H16" s="6">
        <v>0</v>
      </c>
      <c r="I16" s="6">
        <v>712.014</v>
      </c>
      <c r="J16" s="6">
        <v>222461.25</v>
      </c>
      <c r="K16" s="6">
        <v>202041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9">
        <f t="shared" si="1"/>
        <v>522724.208</v>
      </c>
    </row>
    <row r="17" spans="1:18">
      <c r="A17" s="5" t="s">
        <v>24</v>
      </c>
      <c r="B17" s="5" t="s">
        <v>25</v>
      </c>
      <c r="C17" s="5" t="s">
        <v>38</v>
      </c>
      <c r="D17" s="6">
        <v>10.7566</v>
      </c>
      <c r="E17" s="6">
        <v>0</v>
      </c>
      <c r="F17" s="6">
        <v>0</v>
      </c>
      <c r="G17" s="6">
        <v>0</v>
      </c>
      <c r="H17" s="6">
        <v>0</v>
      </c>
      <c r="I17" s="6">
        <v>324009.378</v>
      </c>
      <c r="J17" s="6">
        <v>0</v>
      </c>
      <c r="K17" s="6">
        <v>48800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9">
        <f t="shared" si="1"/>
        <v>372820.1346</v>
      </c>
    </row>
    <row r="18" spans="1:18">
      <c r="A18" s="5" t="s">
        <v>24</v>
      </c>
      <c r="B18" s="5" t="s">
        <v>25</v>
      </c>
      <c r="C18" s="5" t="s">
        <v>39</v>
      </c>
      <c r="D18" s="6">
        <v>6563.77</v>
      </c>
      <c r="E18" s="6">
        <v>0</v>
      </c>
      <c r="F18" s="6">
        <v>0</v>
      </c>
      <c r="G18" s="6">
        <v>266539.6</v>
      </c>
      <c r="H18" s="6">
        <v>0</v>
      </c>
      <c r="I18" s="6">
        <v>3246.1965</v>
      </c>
      <c r="J18" s="6">
        <v>703899.9</v>
      </c>
      <c r="K18" s="6">
        <v>899477.5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9">
        <f t="shared" si="1"/>
        <v>1879726.9665</v>
      </c>
    </row>
    <row r="19" spans="1:18">
      <c r="A19" s="5" t="s">
        <v>24</v>
      </c>
      <c r="B19" s="5" t="s">
        <v>25</v>
      </c>
      <c r="C19" s="5" t="s">
        <v>40</v>
      </c>
      <c r="D19" s="6">
        <v>1459.0048</v>
      </c>
      <c r="E19" s="6">
        <v>0</v>
      </c>
      <c r="F19" s="6">
        <v>0</v>
      </c>
      <c r="G19" s="6">
        <v>36253.6</v>
      </c>
      <c r="H19" s="6">
        <v>0</v>
      </c>
      <c r="I19" s="6">
        <v>83067.1155</v>
      </c>
      <c r="J19" s="6">
        <v>158013.45</v>
      </c>
      <c r="K19" s="6">
        <v>217538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9">
        <f t="shared" si="1"/>
        <v>496331.1703</v>
      </c>
    </row>
    <row r="20" spans="1:18">
      <c r="A20" s="5" t="s">
        <v>24</v>
      </c>
      <c r="B20" s="5" t="s">
        <v>25</v>
      </c>
      <c r="C20" s="5" t="s">
        <v>41</v>
      </c>
      <c r="D20" s="6">
        <v>3338.1583</v>
      </c>
      <c r="E20" s="6">
        <v>0</v>
      </c>
      <c r="F20" s="6">
        <v>0</v>
      </c>
      <c r="G20" s="6">
        <v>64970.8</v>
      </c>
      <c r="H20" s="6">
        <v>0</v>
      </c>
      <c r="I20" s="6">
        <v>12579.9495</v>
      </c>
      <c r="J20" s="6">
        <v>451902</v>
      </c>
      <c r="K20" s="6">
        <v>409252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9">
        <f t="shared" si="1"/>
        <v>942042.9078</v>
      </c>
    </row>
    <row r="21" spans="1:18">
      <c r="A21" s="5" t="s">
        <v>24</v>
      </c>
      <c r="B21" s="5" t="s">
        <v>25</v>
      </c>
      <c r="C21" s="5" t="s">
        <v>42</v>
      </c>
      <c r="D21" s="6">
        <v>4889.6692</v>
      </c>
      <c r="E21" s="6">
        <v>0</v>
      </c>
      <c r="F21" s="6">
        <v>0</v>
      </c>
      <c r="G21" s="6">
        <v>73543.6</v>
      </c>
      <c r="H21" s="6">
        <v>0</v>
      </c>
      <c r="I21" s="6">
        <v>155.04</v>
      </c>
      <c r="J21" s="6">
        <v>857204.7</v>
      </c>
      <c r="K21" s="6">
        <v>998666.5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9">
        <f t="shared" si="1"/>
        <v>1934459.5092</v>
      </c>
    </row>
    <row r="22" spans="1:18">
      <c r="A22" s="5" t="s">
        <v>24</v>
      </c>
      <c r="B22" s="5" t="s">
        <v>25</v>
      </c>
      <c r="C22" s="5" t="s">
        <v>43</v>
      </c>
      <c r="D22" s="6">
        <v>10706.7056</v>
      </c>
      <c r="E22" s="6">
        <v>0</v>
      </c>
      <c r="F22" s="6">
        <v>0</v>
      </c>
      <c r="G22" s="6">
        <v>312618</v>
      </c>
      <c r="H22" s="6">
        <v>0</v>
      </c>
      <c r="I22" s="6">
        <v>22414.6845</v>
      </c>
      <c r="J22" s="6">
        <v>1306310.3</v>
      </c>
      <c r="K22" s="6">
        <v>1336363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9">
        <f t="shared" si="1"/>
        <v>2988412.6901</v>
      </c>
    </row>
    <row r="23" spans="1:18">
      <c r="A23" s="5" t="s">
        <v>24</v>
      </c>
      <c r="B23" s="5" t="s">
        <v>25</v>
      </c>
      <c r="C23" s="5" t="s">
        <v>44</v>
      </c>
      <c r="D23" s="6">
        <v>9689.7499</v>
      </c>
      <c r="E23" s="6">
        <v>0</v>
      </c>
      <c r="F23" s="6">
        <v>0</v>
      </c>
      <c r="G23" s="6">
        <v>154262.4</v>
      </c>
      <c r="H23" s="6">
        <v>0</v>
      </c>
      <c r="I23" s="6">
        <v>13647.2265</v>
      </c>
      <c r="J23" s="6">
        <v>581427</v>
      </c>
      <c r="K23" s="6">
        <v>1109300.5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9">
        <f t="shared" si="1"/>
        <v>1868326.8764</v>
      </c>
    </row>
    <row r="24" spans="1:18">
      <c r="A24" s="5" t="s">
        <v>24</v>
      </c>
      <c r="B24" s="5" t="s">
        <v>25</v>
      </c>
      <c r="C24" s="5" t="s">
        <v>45</v>
      </c>
      <c r="D24" s="6">
        <v>8937.2669</v>
      </c>
      <c r="E24" s="6">
        <v>0</v>
      </c>
      <c r="F24" s="6">
        <v>0</v>
      </c>
      <c r="G24" s="6">
        <v>298754</v>
      </c>
      <c r="H24" s="6">
        <v>0</v>
      </c>
      <c r="I24" s="6">
        <v>3.216</v>
      </c>
      <c r="J24" s="6">
        <v>784756.35</v>
      </c>
      <c r="K24" s="6">
        <v>1190997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9">
        <f t="shared" si="1"/>
        <v>2283447.8329</v>
      </c>
    </row>
    <row r="25" spans="1:18">
      <c r="A25" s="5" t="s">
        <v>24</v>
      </c>
      <c r="B25" s="5" t="s">
        <v>25</v>
      </c>
      <c r="C25" s="5" t="s">
        <v>46</v>
      </c>
      <c r="D25" s="6">
        <v>6150.1313</v>
      </c>
      <c r="E25" s="6">
        <v>0</v>
      </c>
      <c r="F25" s="6">
        <v>0</v>
      </c>
      <c r="G25" s="6">
        <v>213119.6</v>
      </c>
      <c r="H25" s="6">
        <v>0</v>
      </c>
      <c r="I25" s="6">
        <v>1347.3795</v>
      </c>
      <c r="J25" s="6">
        <v>742746.375</v>
      </c>
      <c r="K25" s="6">
        <v>1008073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9">
        <f t="shared" si="1"/>
        <v>1971436.4858</v>
      </c>
    </row>
    <row r="26" spans="1:18">
      <c r="A26" s="5" t="s">
        <v>24</v>
      </c>
      <c r="B26" s="5" t="s">
        <v>25</v>
      </c>
      <c r="C26" s="5" t="s">
        <v>47</v>
      </c>
      <c r="D26" s="6">
        <v>95.2534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207608.5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9">
        <f t="shared" si="1"/>
        <v>207703.7534</v>
      </c>
    </row>
    <row r="27" spans="1:18">
      <c r="A27" s="5" t="s">
        <v>24</v>
      </c>
      <c r="B27" s="5" t="s">
        <v>25</v>
      </c>
      <c r="C27" s="5" t="s">
        <v>48</v>
      </c>
      <c r="D27" s="6">
        <v>2513.5405</v>
      </c>
      <c r="E27" s="6">
        <v>0</v>
      </c>
      <c r="F27" s="6">
        <v>0</v>
      </c>
      <c r="G27" s="6">
        <v>40344.4</v>
      </c>
      <c r="H27" s="6">
        <v>0</v>
      </c>
      <c r="I27" s="6">
        <v>1283.5365</v>
      </c>
      <c r="J27" s="6">
        <v>451343.5</v>
      </c>
      <c r="K27" s="6">
        <v>179412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9">
        <f t="shared" si="1"/>
        <v>674896.977</v>
      </c>
    </row>
    <row r="28" spans="1:18">
      <c r="A28" s="5" t="s">
        <v>24</v>
      </c>
      <c r="B28" s="5" t="s">
        <v>25</v>
      </c>
      <c r="C28" s="5" t="s">
        <v>49</v>
      </c>
      <c r="D28" s="6">
        <v>1491.5782</v>
      </c>
      <c r="E28" s="6">
        <v>0</v>
      </c>
      <c r="F28" s="6">
        <v>0</v>
      </c>
      <c r="G28" s="6">
        <v>56798.8</v>
      </c>
      <c r="H28" s="6">
        <v>0</v>
      </c>
      <c r="I28" s="6">
        <v>3453.2805</v>
      </c>
      <c r="J28" s="6">
        <v>175627.65</v>
      </c>
      <c r="K28" s="6">
        <v>102554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9">
        <f t="shared" si="1"/>
        <v>339925.3087</v>
      </c>
    </row>
    <row r="29" spans="1:18">
      <c r="A29" s="5" t="s">
        <v>24</v>
      </c>
      <c r="B29" s="5" t="s">
        <v>25</v>
      </c>
      <c r="C29" s="5" t="s">
        <v>50</v>
      </c>
      <c r="D29" s="6">
        <v>2873.965</v>
      </c>
      <c r="E29" s="6">
        <v>0</v>
      </c>
      <c r="F29" s="6">
        <v>0</v>
      </c>
      <c r="G29" s="6">
        <v>44784.4</v>
      </c>
      <c r="H29" s="6">
        <v>0</v>
      </c>
      <c r="I29" s="6">
        <v>5080.662</v>
      </c>
      <c r="J29" s="6">
        <v>461594.1</v>
      </c>
      <c r="K29" s="6">
        <v>280233.5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9">
        <f t="shared" si="1"/>
        <v>794566.627</v>
      </c>
    </row>
    <row r="30" spans="1:18">
      <c r="A30" s="5" t="s">
        <v>24</v>
      </c>
      <c r="B30" s="5" t="s">
        <v>25</v>
      </c>
      <c r="C30" s="5" t="s">
        <v>51</v>
      </c>
      <c r="D30" s="6">
        <v>735.7097</v>
      </c>
      <c r="E30" s="6">
        <v>0</v>
      </c>
      <c r="F30" s="6">
        <v>0</v>
      </c>
      <c r="G30" s="6">
        <v>20552.8</v>
      </c>
      <c r="H30" s="6">
        <v>0</v>
      </c>
      <c r="I30" s="6">
        <v>4294.821</v>
      </c>
      <c r="J30" s="6">
        <v>174375.3</v>
      </c>
      <c r="K30" s="6">
        <v>85371.5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9">
        <f t="shared" si="1"/>
        <v>285330.1307</v>
      </c>
    </row>
    <row r="31" spans="1:18">
      <c r="A31" s="5" t="s">
        <v>24</v>
      </c>
      <c r="B31" s="5" t="s">
        <v>25</v>
      </c>
      <c r="C31" s="5" t="s">
        <v>52</v>
      </c>
      <c r="D31" s="6">
        <v>4399.2191</v>
      </c>
      <c r="E31" s="6">
        <v>0</v>
      </c>
      <c r="F31" s="6">
        <v>0</v>
      </c>
      <c r="G31" s="6">
        <v>91350</v>
      </c>
      <c r="H31" s="6">
        <v>0</v>
      </c>
      <c r="I31" s="6">
        <v>3333.123</v>
      </c>
      <c r="J31" s="6">
        <v>788177</v>
      </c>
      <c r="K31" s="6">
        <v>1099187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9">
        <f t="shared" si="1"/>
        <v>1986446.3421</v>
      </c>
    </row>
    <row r="32" spans="1:18">
      <c r="A32" s="5" t="s">
        <v>24</v>
      </c>
      <c r="B32" s="5" t="s">
        <v>25</v>
      </c>
      <c r="C32" s="5" t="s">
        <v>53</v>
      </c>
      <c r="D32" s="6">
        <v>14531.4462</v>
      </c>
      <c r="E32" s="6">
        <v>0</v>
      </c>
      <c r="F32" s="6">
        <v>0</v>
      </c>
      <c r="G32" s="6">
        <v>341766.8</v>
      </c>
      <c r="H32" s="6">
        <v>0</v>
      </c>
      <c r="I32" s="6">
        <v>40.773</v>
      </c>
      <c r="J32" s="6">
        <v>1127094.55</v>
      </c>
      <c r="K32" s="6">
        <v>2070057.5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9">
        <f t="shared" si="1"/>
        <v>3553491.0692</v>
      </c>
    </row>
    <row r="33" spans="1:18">
      <c r="A33" s="5" t="s">
        <v>24</v>
      </c>
      <c r="B33" s="5" t="s">
        <v>25</v>
      </c>
      <c r="C33" s="5" t="s">
        <v>54</v>
      </c>
      <c r="D33" s="6">
        <v>4798.8934</v>
      </c>
      <c r="E33" s="6">
        <v>0</v>
      </c>
      <c r="F33" s="6">
        <v>0</v>
      </c>
      <c r="G33" s="6">
        <v>113157.2</v>
      </c>
      <c r="H33" s="6">
        <v>0</v>
      </c>
      <c r="I33" s="6">
        <v>752.0625</v>
      </c>
      <c r="J33" s="6">
        <v>475051.5</v>
      </c>
      <c r="K33" s="6">
        <v>395201.5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9">
        <f t="shared" si="1"/>
        <v>988961.1559</v>
      </c>
    </row>
    <row r="34" spans="1:18">
      <c r="A34" s="5" t="s">
        <v>24</v>
      </c>
      <c r="B34" s="5" t="s">
        <v>55</v>
      </c>
      <c r="C34" s="5" t="s">
        <v>56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17.28</v>
      </c>
      <c r="J34" s="6">
        <v>0</v>
      </c>
      <c r="K34" s="6">
        <v>1918.5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9">
        <f t="shared" si="1"/>
        <v>1935.78</v>
      </c>
    </row>
    <row r="35" spans="1:18">
      <c r="A35" s="5" t="s">
        <v>24</v>
      </c>
      <c r="B35" s="5" t="s">
        <v>55</v>
      </c>
      <c r="C35" s="5" t="s">
        <v>57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10.059</v>
      </c>
      <c r="J35" s="6">
        <v>0</v>
      </c>
      <c r="K35" s="6">
        <v>257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40000</v>
      </c>
      <c r="R35" s="9">
        <f t="shared" si="1"/>
        <v>40267.059</v>
      </c>
    </row>
    <row r="36" spans="1:18">
      <c r="A36" s="5" t="s">
        <v>24</v>
      </c>
      <c r="B36" s="5" t="s">
        <v>55</v>
      </c>
      <c r="C36" s="5" t="s">
        <v>58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726.549</v>
      </c>
      <c r="J36" s="6">
        <v>0</v>
      </c>
      <c r="K36" s="6">
        <v>8315.5</v>
      </c>
      <c r="L36" s="6">
        <v>0</v>
      </c>
      <c r="M36" s="6">
        <v>16569.605</v>
      </c>
      <c r="N36" s="6">
        <v>0</v>
      </c>
      <c r="O36" s="6">
        <v>0</v>
      </c>
      <c r="P36" s="6">
        <v>0</v>
      </c>
      <c r="Q36" s="6">
        <v>0</v>
      </c>
      <c r="R36" s="9">
        <f t="shared" si="1"/>
        <v>25611.654</v>
      </c>
    </row>
    <row r="37" spans="1:18">
      <c r="A37" s="5" t="s">
        <v>24</v>
      </c>
      <c r="B37" s="5" t="s">
        <v>55</v>
      </c>
      <c r="C37" s="5" t="s">
        <v>59</v>
      </c>
      <c r="D37" s="6">
        <v>0.7886</v>
      </c>
      <c r="E37" s="6">
        <v>0</v>
      </c>
      <c r="F37" s="6">
        <v>0</v>
      </c>
      <c r="G37" s="6">
        <v>621.6</v>
      </c>
      <c r="H37" s="6">
        <v>0</v>
      </c>
      <c r="I37" s="6">
        <v>4.1835</v>
      </c>
      <c r="J37" s="6">
        <v>0</v>
      </c>
      <c r="K37" s="6">
        <v>8855.5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40000</v>
      </c>
      <c r="R37" s="9">
        <f t="shared" si="1"/>
        <v>49482.0721</v>
      </c>
    </row>
    <row r="38" spans="1:18">
      <c r="A38" s="5" t="s">
        <v>24</v>
      </c>
      <c r="B38" s="5" t="s">
        <v>55</v>
      </c>
      <c r="C38" s="5" t="s">
        <v>60</v>
      </c>
      <c r="D38" s="6">
        <v>4.6643</v>
      </c>
      <c r="E38" s="6">
        <v>766.5</v>
      </c>
      <c r="F38" s="6">
        <v>0</v>
      </c>
      <c r="G38" s="6">
        <v>2390</v>
      </c>
      <c r="H38" s="6">
        <v>0</v>
      </c>
      <c r="I38" s="6">
        <v>1690.6515</v>
      </c>
      <c r="J38" s="6">
        <v>44139.5</v>
      </c>
      <c r="K38" s="6">
        <v>12404</v>
      </c>
      <c r="L38" s="6">
        <v>0</v>
      </c>
      <c r="M38" s="6">
        <v>11960</v>
      </c>
      <c r="N38" s="6">
        <v>0</v>
      </c>
      <c r="O38" s="6">
        <v>0</v>
      </c>
      <c r="P38" s="6">
        <v>0</v>
      </c>
      <c r="Q38" s="6">
        <v>40000</v>
      </c>
      <c r="R38" s="9">
        <f t="shared" ref="R38:R69" si="2">SUM(D38:Q38)</f>
        <v>113355.3158</v>
      </c>
    </row>
    <row r="39" spans="1:18">
      <c r="A39" s="5" t="s">
        <v>24</v>
      </c>
      <c r="B39" s="5" t="s">
        <v>55</v>
      </c>
      <c r="C39" s="5" t="s">
        <v>61</v>
      </c>
      <c r="D39" s="6">
        <v>1.8685</v>
      </c>
      <c r="E39" s="6">
        <v>0</v>
      </c>
      <c r="F39" s="6">
        <v>0</v>
      </c>
      <c r="G39" s="6">
        <v>0</v>
      </c>
      <c r="H39" s="6">
        <v>0</v>
      </c>
      <c r="I39" s="6">
        <v>331.878</v>
      </c>
      <c r="J39" s="6">
        <v>0</v>
      </c>
      <c r="K39" s="6">
        <v>7040.5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40000</v>
      </c>
      <c r="R39" s="9">
        <f t="shared" si="2"/>
        <v>47374.2465</v>
      </c>
    </row>
    <row r="40" spans="1:18">
      <c r="A40" s="5" t="s">
        <v>24</v>
      </c>
      <c r="B40" s="5" t="s">
        <v>55</v>
      </c>
      <c r="C40" s="5" t="s">
        <v>62</v>
      </c>
      <c r="D40" s="6">
        <v>26.9957</v>
      </c>
      <c r="E40" s="6">
        <v>3417.11</v>
      </c>
      <c r="F40" s="6">
        <v>0</v>
      </c>
      <c r="G40" s="6">
        <v>16553.2</v>
      </c>
      <c r="H40" s="6">
        <v>0</v>
      </c>
      <c r="I40" s="6">
        <v>2899.9995</v>
      </c>
      <c r="J40" s="6">
        <v>102238</v>
      </c>
      <c r="K40" s="6">
        <v>35147.5</v>
      </c>
      <c r="L40" s="6">
        <v>0</v>
      </c>
      <c r="M40" s="6">
        <v>36025.86</v>
      </c>
      <c r="N40" s="6">
        <v>0</v>
      </c>
      <c r="O40" s="6">
        <v>0</v>
      </c>
      <c r="P40" s="6">
        <v>0</v>
      </c>
      <c r="Q40" s="6">
        <v>40000</v>
      </c>
      <c r="R40" s="9">
        <f t="shared" si="2"/>
        <v>236308.6652</v>
      </c>
    </row>
    <row r="41" spans="1:18">
      <c r="A41" s="5" t="s">
        <v>24</v>
      </c>
      <c r="B41" s="5" t="s">
        <v>55</v>
      </c>
      <c r="C41" s="5" t="s">
        <v>63</v>
      </c>
      <c r="D41" s="6">
        <v>1.7032</v>
      </c>
      <c r="E41" s="6">
        <v>0</v>
      </c>
      <c r="F41" s="6">
        <v>0</v>
      </c>
      <c r="G41" s="6">
        <v>0</v>
      </c>
      <c r="H41" s="6">
        <v>0</v>
      </c>
      <c r="I41" s="6">
        <v>499.6275</v>
      </c>
      <c r="J41" s="6">
        <v>19438.55</v>
      </c>
      <c r="K41" s="6">
        <v>4099</v>
      </c>
      <c r="L41" s="6">
        <v>0</v>
      </c>
      <c r="M41" s="6">
        <v>18557.4025</v>
      </c>
      <c r="N41" s="6">
        <v>0</v>
      </c>
      <c r="O41" s="6">
        <v>0</v>
      </c>
      <c r="P41" s="6">
        <v>0</v>
      </c>
      <c r="Q41" s="6">
        <v>40000</v>
      </c>
      <c r="R41" s="9">
        <f t="shared" si="2"/>
        <v>82596.2832</v>
      </c>
    </row>
    <row r="42" spans="1:18">
      <c r="A42" s="5" t="s">
        <v>24</v>
      </c>
      <c r="B42" s="5" t="s">
        <v>55</v>
      </c>
      <c r="C42" s="5" t="s">
        <v>64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9">
        <f t="shared" si="2"/>
        <v>0</v>
      </c>
    </row>
    <row r="43" spans="1:18">
      <c r="A43" s="5" t="s">
        <v>24</v>
      </c>
      <c r="B43" s="5" t="s">
        <v>65</v>
      </c>
      <c r="C43" s="5" t="s">
        <v>66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31879.5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9">
        <f t="shared" si="2"/>
        <v>31879.5</v>
      </c>
    </row>
    <row r="44" spans="1:18">
      <c r="A44" s="5" t="s">
        <v>24</v>
      </c>
      <c r="B44" s="5" t="s">
        <v>65</v>
      </c>
      <c r="C44" s="5" t="s">
        <v>67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9">
        <f t="shared" si="2"/>
        <v>0</v>
      </c>
    </row>
    <row r="45" spans="1:18">
      <c r="A45" s="5" t="s">
        <v>24</v>
      </c>
      <c r="B45" s="5" t="s">
        <v>65</v>
      </c>
      <c r="C45" s="5" t="s">
        <v>68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296327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9">
        <f t="shared" si="2"/>
        <v>296327</v>
      </c>
    </row>
    <row r="46" spans="1:18">
      <c r="A46" s="5" t="s">
        <v>24</v>
      </c>
      <c r="B46" s="5" t="s">
        <v>69</v>
      </c>
      <c r="C46" s="5" t="s">
        <v>70</v>
      </c>
      <c r="D46" s="6">
        <v>48.423</v>
      </c>
      <c r="E46" s="6">
        <v>0</v>
      </c>
      <c r="F46" s="6">
        <v>0</v>
      </c>
      <c r="G46" s="6">
        <v>0</v>
      </c>
      <c r="H46" s="6">
        <v>0</v>
      </c>
      <c r="I46" s="6">
        <v>5083.4775</v>
      </c>
      <c r="J46" s="6">
        <v>17339.2966</v>
      </c>
      <c r="K46" s="6">
        <v>395293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9">
        <f t="shared" si="2"/>
        <v>417764.1971</v>
      </c>
    </row>
    <row r="47" spans="1:18">
      <c r="A47" s="5" t="s">
        <v>24</v>
      </c>
      <c r="B47" s="5" t="s">
        <v>69</v>
      </c>
      <c r="C47" s="5" t="s">
        <v>71</v>
      </c>
      <c r="D47" s="6">
        <v>3101.534</v>
      </c>
      <c r="E47" s="6">
        <v>0</v>
      </c>
      <c r="F47" s="6">
        <v>0</v>
      </c>
      <c r="G47" s="6">
        <v>124201.6</v>
      </c>
      <c r="H47" s="6">
        <v>0</v>
      </c>
      <c r="I47" s="6">
        <v>8584.1325</v>
      </c>
      <c r="J47" s="6">
        <v>248411.075</v>
      </c>
      <c r="K47" s="6">
        <v>1012501.5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9">
        <f t="shared" si="2"/>
        <v>1396799.8415</v>
      </c>
    </row>
    <row r="48" spans="1:18">
      <c r="A48" s="5" t="s">
        <v>24</v>
      </c>
      <c r="B48" s="5" t="s">
        <v>69</v>
      </c>
      <c r="C48" s="5" t="s">
        <v>72</v>
      </c>
      <c r="D48" s="6">
        <v>415.8515</v>
      </c>
      <c r="E48" s="6">
        <v>0</v>
      </c>
      <c r="F48" s="6">
        <v>0</v>
      </c>
      <c r="G48" s="6">
        <v>36503.2</v>
      </c>
      <c r="H48" s="6">
        <v>0</v>
      </c>
      <c r="I48" s="6">
        <v>579.6195</v>
      </c>
      <c r="J48" s="6">
        <v>29007.43</v>
      </c>
      <c r="K48" s="6">
        <v>120106.5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9">
        <f t="shared" si="2"/>
        <v>186612.601</v>
      </c>
    </row>
    <row r="49" spans="1:18">
      <c r="A49" s="5" t="s">
        <v>24</v>
      </c>
      <c r="B49" s="5" t="s">
        <v>69</v>
      </c>
      <c r="C49" s="5" t="s">
        <v>73</v>
      </c>
      <c r="D49" s="6">
        <v>185.1398</v>
      </c>
      <c r="E49" s="6">
        <v>0</v>
      </c>
      <c r="F49" s="6">
        <v>0</v>
      </c>
      <c r="G49" s="6">
        <v>0</v>
      </c>
      <c r="H49" s="6">
        <v>0</v>
      </c>
      <c r="I49" s="6">
        <v>10023.5505</v>
      </c>
      <c r="J49" s="6">
        <v>84703.2</v>
      </c>
      <c r="K49" s="6">
        <v>714342.5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9">
        <f t="shared" si="2"/>
        <v>809254.3903</v>
      </c>
    </row>
    <row r="50" spans="1:18">
      <c r="A50" s="5" t="s">
        <v>24</v>
      </c>
      <c r="B50" s="5" t="s">
        <v>69</v>
      </c>
      <c r="C50" s="5" t="s">
        <v>74</v>
      </c>
      <c r="D50" s="6">
        <v>1.3476</v>
      </c>
      <c r="E50" s="6">
        <v>0</v>
      </c>
      <c r="F50" s="6">
        <v>0</v>
      </c>
      <c r="G50" s="6">
        <v>0</v>
      </c>
      <c r="H50" s="6">
        <v>0</v>
      </c>
      <c r="I50" s="6">
        <v>411.5745</v>
      </c>
      <c r="J50" s="6">
        <v>392.47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9">
        <f t="shared" si="2"/>
        <v>805.3921</v>
      </c>
    </row>
    <row r="51" spans="1:18">
      <c r="A51" s="5" t="s">
        <v>24</v>
      </c>
      <c r="B51" s="5" t="s">
        <v>69</v>
      </c>
      <c r="C51" s="5" t="s">
        <v>75</v>
      </c>
      <c r="D51" s="6">
        <v>175.7078</v>
      </c>
      <c r="E51" s="6">
        <v>0</v>
      </c>
      <c r="F51" s="6">
        <v>0</v>
      </c>
      <c r="G51" s="6">
        <v>0</v>
      </c>
      <c r="H51" s="6">
        <v>0</v>
      </c>
      <c r="I51" s="6">
        <v>6930.1065</v>
      </c>
      <c r="J51" s="6">
        <v>36464.352</v>
      </c>
      <c r="K51" s="6">
        <v>363123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9">
        <f t="shared" si="2"/>
        <v>406693.1663</v>
      </c>
    </row>
    <row r="52" spans="1:18">
      <c r="A52" s="5" t="s">
        <v>24</v>
      </c>
      <c r="B52" s="5" t="s">
        <v>69</v>
      </c>
      <c r="C52" s="5" t="s">
        <v>76</v>
      </c>
      <c r="D52" s="6">
        <v>0.3143</v>
      </c>
      <c r="E52" s="6">
        <v>0</v>
      </c>
      <c r="F52" s="6">
        <v>0</v>
      </c>
      <c r="G52" s="6">
        <v>0</v>
      </c>
      <c r="H52" s="6">
        <v>0</v>
      </c>
      <c r="I52" s="6">
        <v>987.7455</v>
      </c>
      <c r="J52" s="6">
        <v>997.815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9">
        <f t="shared" si="2"/>
        <v>1985.8748</v>
      </c>
    </row>
    <row r="53" spans="1:18">
      <c r="A53" s="5" t="s">
        <v>24</v>
      </c>
      <c r="B53" s="5" t="s">
        <v>69</v>
      </c>
      <c r="C53" s="5" t="s">
        <v>77</v>
      </c>
      <c r="D53" s="6">
        <v>743.4701</v>
      </c>
      <c r="E53" s="6">
        <v>0</v>
      </c>
      <c r="F53" s="6">
        <v>0</v>
      </c>
      <c r="G53" s="6">
        <v>38272.8</v>
      </c>
      <c r="H53" s="6">
        <v>0</v>
      </c>
      <c r="I53" s="6">
        <v>7186.968</v>
      </c>
      <c r="J53" s="6">
        <v>76475.01</v>
      </c>
      <c r="K53" s="6">
        <v>302609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9">
        <f t="shared" si="2"/>
        <v>425287.2481</v>
      </c>
    </row>
    <row r="54" spans="1:18">
      <c r="A54" s="5" t="s">
        <v>24</v>
      </c>
      <c r="B54" s="5" t="s">
        <v>69</v>
      </c>
      <c r="C54" s="5" t="s">
        <v>78</v>
      </c>
      <c r="D54" s="6">
        <v>325.5576</v>
      </c>
      <c r="E54" s="6">
        <v>0</v>
      </c>
      <c r="F54" s="6">
        <v>0</v>
      </c>
      <c r="G54" s="6">
        <v>0</v>
      </c>
      <c r="H54" s="6">
        <v>0</v>
      </c>
      <c r="I54" s="6">
        <v>314.967</v>
      </c>
      <c r="J54" s="6">
        <v>52733.4</v>
      </c>
      <c r="K54" s="6">
        <v>84221.5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9">
        <f t="shared" si="2"/>
        <v>137595.4246</v>
      </c>
    </row>
    <row r="55" spans="1:18">
      <c r="A55" s="5" t="s">
        <v>24</v>
      </c>
      <c r="B55" s="5" t="s">
        <v>69</v>
      </c>
      <c r="C55" s="5" t="s">
        <v>79</v>
      </c>
      <c r="D55" s="6">
        <v>11.754</v>
      </c>
      <c r="E55" s="6">
        <v>0</v>
      </c>
      <c r="F55" s="6">
        <v>0</v>
      </c>
      <c r="G55" s="6">
        <v>0</v>
      </c>
      <c r="H55" s="6">
        <v>0</v>
      </c>
      <c r="I55" s="6">
        <v>1372.3185</v>
      </c>
      <c r="J55" s="6">
        <v>2744.2211</v>
      </c>
      <c r="K55" s="6">
        <v>4675.5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9">
        <f t="shared" si="2"/>
        <v>8803.7936</v>
      </c>
    </row>
    <row r="56" spans="1:18">
      <c r="A56" s="5" t="s">
        <v>24</v>
      </c>
      <c r="B56" s="5" t="s">
        <v>69</v>
      </c>
      <c r="C56" s="5" t="s">
        <v>80</v>
      </c>
      <c r="D56" s="6">
        <v>63.2047</v>
      </c>
      <c r="E56" s="6">
        <v>0</v>
      </c>
      <c r="F56" s="6">
        <v>0</v>
      </c>
      <c r="G56" s="6">
        <v>0</v>
      </c>
      <c r="H56" s="6">
        <v>0</v>
      </c>
      <c r="I56" s="6">
        <v>2354.946</v>
      </c>
      <c r="J56" s="6">
        <v>5570.94</v>
      </c>
      <c r="K56" s="6">
        <v>7976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9">
        <f t="shared" si="2"/>
        <v>15965.0907</v>
      </c>
    </row>
    <row r="57" spans="1:18">
      <c r="A57" s="5" t="s">
        <v>24</v>
      </c>
      <c r="B57" s="5" t="s">
        <v>69</v>
      </c>
      <c r="C57" s="5" t="s">
        <v>81</v>
      </c>
      <c r="D57" s="6">
        <v>3.5772</v>
      </c>
      <c r="E57" s="6">
        <v>0</v>
      </c>
      <c r="F57" s="6">
        <v>0</v>
      </c>
      <c r="G57" s="6">
        <v>0</v>
      </c>
      <c r="H57" s="6">
        <v>0</v>
      </c>
      <c r="I57" s="6">
        <v>340.8645</v>
      </c>
      <c r="J57" s="6">
        <v>1180.47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9">
        <f t="shared" si="2"/>
        <v>1524.9117</v>
      </c>
    </row>
    <row r="58" spans="1:18">
      <c r="A58" s="5" t="s">
        <v>24</v>
      </c>
      <c r="B58" s="5" t="s">
        <v>69</v>
      </c>
      <c r="C58" s="5" t="s">
        <v>82</v>
      </c>
      <c r="D58" s="6">
        <v>34.2014</v>
      </c>
      <c r="E58" s="6">
        <v>0</v>
      </c>
      <c r="F58" s="6">
        <v>0</v>
      </c>
      <c r="G58" s="6">
        <v>0</v>
      </c>
      <c r="H58" s="6">
        <v>0</v>
      </c>
      <c r="I58" s="6">
        <v>707.952</v>
      </c>
      <c r="J58" s="6">
        <v>9310.305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9">
        <f t="shared" si="2"/>
        <v>10052.4584</v>
      </c>
    </row>
    <row r="59" spans="1:18">
      <c r="A59" s="5" t="s">
        <v>24</v>
      </c>
      <c r="B59" s="5" t="s">
        <v>69</v>
      </c>
      <c r="C59" s="5" t="s">
        <v>83</v>
      </c>
      <c r="D59" s="6">
        <v>13.7221</v>
      </c>
      <c r="E59" s="6">
        <v>0</v>
      </c>
      <c r="F59" s="6">
        <v>0</v>
      </c>
      <c r="G59" s="6">
        <v>0</v>
      </c>
      <c r="H59" s="6">
        <v>0</v>
      </c>
      <c r="I59" s="6">
        <v>83.67</v>
      </c>
      <c r="J59" s="6">
        <v>4453.433</v>
      </c>
      <c r="K59" s="6">
        <v>7561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9">
        <f t="shared" si="2"/>
        <v>12111.8251</v>
      </c>
    </row>
    <row r="60" spans="1:18">
      <c r="A60" s="5" t="s">
        <v>24</v>
      </c>
      <c r="B60" s="5" t="s">
        <v>69</v>
      </c>
      <c r="C60" s="5" t="s">
        <v>84</v>
      </c>
      <c r="D60" s="6">
        <v>2178.2882</v>
      </c>
      <c r="E60" s="6">
        <v>0</v>
      </c>
      <c r="F60" s="6">
        <v>0</v>
      </c>
      <c r="G60" s="6">
        <v>0</v>
      </c>
      <c r="H60" s="6">
        <v>0</v>
      </c>
      <c r="I60" s="6">
        <v>810.231</v>
      </c>
      <c r="J60" s="6">
        <v>0</v>
      </c>
      <c r="K60" s="6">
        <v>653163.5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9">
        <f t="shared" si="2"/>
        <v>656152.0192</v>
      </c>
    </row>
    <row r="61" spans="1:18">
      <c r="A61" s="5" t="s">
        <v>24</v>
      </c>
      <c r="B61" s="5" t="s">
        <v>69</v>
      </c>
      <c r="C61" s="5" t="s">
        <v>85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32.9625</v>
      </c>
      <c r="J61" s="6">
        <v>0</v>
      </c>
      <c r="K61" s="6">
        <v>583056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9">
        <f t="shared" si="2"/>
        <v>583088.9625</v>
      </c>
    </row>
    <row r="62" spans="1:18">
      <c r="A62" s="5" t="s">
        <v>24</v>
      </c>
      <c r="B62" s="5" t="s">
        <v>69</v>
      </c>
      <c r="C62" s="5" t="s">
        <v>86</v>
      </c>
      <c r="D62" s="6">
        <v>413.9843</v>
      </c>
      <c r="E62" s="6">
        <v>0</v>
      </c>
      <c r="F62" s="6">
        <v>0</v>
      </c>
      <c r="G62" s="6">
        <v>22753.6</v>
      </c>
      <c r="H62" s="6">
        <v>0</v>
      </c>
      <c r="I62" s="6">
        <v>1436.9175</v>
      </c>
      <c r="J62" s="6">
        <v>110037.14</v>
      </c>
      <c r="K62" s="6">
        <v>209071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9">
        <f t="shared" si="2"/>
        <v>343712.6418</v>
      </c>
    </row>
    <row r="63" spans="1:18">
      <c r="A63" s="5" t="s">
        <v>24</v>
      </c>
      <c r="B63" s="5" t="s">
        <v>69</v>
      </c>
      <c r="C63" s="5" t="s">
        <v>87</v>
      </c>
      <c r="D63" s="6">
        <v>4.7815</v>
      </c>
      <c r="E63" s="6">
        <v>0</v>
      </c>
      <c r="F63" s="6">
        <v>0</v>
      </c>
      <c r="G63" s="6">
        <v>0</v>
      </c>
      <c r="H63" s="6">
        <v>0</v>
      </c>
      <c r="I63" s="6">
        <v>623.8965</v>
      </c>
      <c r="J63" s="6">
        <v>4040.3049</v>
      </c>
      <c r="K63" s="6">
        <v>8536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9">
        <f t="shared" si="2"/>
        <v>13204.9829</v>
      </c>
    </row>
    <row r="64" spans="1:18">
      <c r="A64" s="5" t="s">
        <v>24</v>
      </c>
      <c r="B64" s="5" t="s">
        <v>69</v>
      </c>
      <c r="C64" s="5" t="s">
        <v>88</v>
      </c>
      <c r="D64" s="6">
        <v>215.8822</v>
      </c>
      <c r="E64" s="6">
        <v>0</v>
      </c>
      <c r="F64" s="6">
        <v>0</v>
      </c>
      <c r="G64" s="6">
        <v>9960</v>
      </c>
      <c r="H64" s="6">
        <v>0</v>
      </c>
      <c r="I64" s="6">
        <v>92463.771</v>
      </c>
      <c r="J64" s="6">
        <v>22251.04</v>
      </c>
      <c r="K64" s="6">
        <v>35232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9">
        <f t="shared" si="2"/>
        <v>160122.6932</v>
      </c>
    </row>
    <row r="65" spans="1:18">
      <c r="A65" s="5" t="s">
        <v>24</v>
      </c>
      <c r="B65" s="5" t="s">
        <v>69</v>
      </c>
      <c r="C65" s="5" t="s">
        <v>89</v>
      </c>
      <c r="D65" s="6">
        <v>1280.3126</v>
      </c>
      <c r="E65" s="6">
        <v>0</v>
      </c>
      <c r="F65" s="6">
        <v>0</v>
      </c>
      <c r="G65" s="6">
        <v>9748.8</v>
      </c>
      <c r="H65" s="6">
        <v>0</v>
      </c>
      <c r="I65" s="6">
        <v>16503.453</v>
      </c>
      <c r="J65" s="6">
        <v>170048.5111</v>
      </c>
      <c r="K65" s="6">
        <v>585401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9">
        <f t="shared" si="2"/>
        <v>782982.0767</v>
      </c>
    </row>
    <row r="66" spans="1:18">
      <c r="A66" s="5" t="s">
        <v>24</v>
      </c>
      <c r="B66" s="5" t="s">
        <v>69</v>
      </c>
      <c r="C66" s="5" t="s">
        <v>90</v>
      </c>
      <c r="D66" s="6">
        <v>41.1862</v>
      </c>
      <c r="E66" s="6">
        <v>0</v>
      </c>
      <c r="F66" s="6">
        <v>0</v>
      </c>
      <c r="G66" s="6">
        <v>0</v>
      </c>
      <c r="H66" s="6">
        <v>0</v>
      </c>
      <c r="I66" s="6">
        <v>683.1135</v>
      </c>
      <c r="J66" s="6">
        <v>6657.3595</v>
      </c>
      <c r="K66" s="6">
        <v>19583.5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9">
        <f t="shared" si="2"/>
        <v>26965.1592</v>
      </c>
    </row>
    <row r="67" spans="1:18">
      <c r="A67" s="5" t="s">
        <v>24</v>
      </c>
      <c r="B67" s="5" t="s">
        <v>69</v>
      </c>
      <c r="C67" s="5" t="s">
        <v>91</v>
      </c>
      <c r="D67" s="6">
        <v>16.6826</v>
      </c>
      <c r="E67" s="6">
        <v>0</v>
      </c>
      <c r="F67" s="6">
        <v>0</v>
      </c>
      <c r="G67" s="6">
        <v>0</v>
      </c>
      <c r="H67" s="6">
        <v>0</v>
      </c>
      <c r="I67" s="6">
        <v>5928.219</v>
      </c>
      <c r="J67" s="6">
        <v>3295.425</v>
      </c>
      <c r="K67" s="6">
        <v>17800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9">
        <f t="shared" si="2"/>
        <v>27040.3266</v>
      </c>
    </row>
    <row r="68" spans="1:18">
      <c r="A68" s="5" t="s">
        <v>24</v>
      </c>
      <c r="B68" s="5" t="s">
        <v>69</v>
      </c>
      <c r="C68" s="5" t="s">
        <v>92</v>
      </c>
      <c r="D68" s="6">
        <v>18.7241</v>
      </c>
      <c r="E68" s="6">
        <v>0</v>
      </c>
      <c r="F68" s="6">
        <v>0</v>
      </c>
      <c r="G68" s="6">
        <v>2085.2</v>
      </c>
      <c r="H68" s="6">
        <v>0</v>
      </c>
      <c r="I68" s="6">
        <v>647.904</v>
      </c>
      <c r="J68" s="6">
        <v>2462.02</v>
      </c>
      <c r="K68" s="6">
        <v>2933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9">
        <f t="shared" si="2"/>
        <v>8146.8481</v>
      </c>
    </row>
    <row r="69" spans="1:18">
      <c r="A69" s="5" t="s">
        <v>24</v>
      </c>
      <c r="B69" s="5" t="s">
        <v>69</v>
      </c>
      <c r="C69" s="5" t="s">
        <v>93</v>
      </c>
      <c r="D69" s="6">
        <v>728.753</v>
      </c>
      <c r="E69" s="6">
        <v>0</v>
      </c>
      <c r="F69" s="6">
        <v>0</v>
      </c>
      <c r="G69" s="6">
        <v>0</v>
      </c>
      <c r="H69" s="6">
        <v>0</v>
      </c>
      <c r="I69" s="6">
        <v>638.4945</v>
      </c>
      <c r="J69" s="6">
        <v>0</v>
      </c>
      <c r="K69" s="6">
        <v>461747.5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9">
        <f t="shared" si="2"/>
        <v>463114.7475</v>
      </c>
    </row>
    <row r="70" spans="1:18">
      <c r="A70" s="5" t="s">
        <v>24</v>
      </c>
      <c r="B70" s="5" t="s">
        <v>94</v>
      </c>
      <c r="C70" s="5" t="s">
        <v>95</v>
      </c>
      <c r="D70" s="6">
        <v>0.1969</v>
      </c>
      <c r="E70" s="6">
        <v>0</v>
      </c>
      <c r="F70" s="6">
        <v>0</v>
      </c>
      <c r="G70" s="6">
        <v>0</v>
      </c>
      <c r="H70" s="6">
        <v>0</v>
      </c>
      <c r="I70" s="6">
        <v>52540.05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9">
        <f t="shared" ref="R70:R101" si="3">SUM(D70:Q70)</f>
        <v>52540.2469</v>
      </c>
    </row>
    <row r="71" spans="1:18">
      <c r="A71" s="5" t="s">
        <v>24</v>
      </c>
      <c r="B71" s="5" t="s">
        <v>94</v>
      </c>
      <c r="C71" s="5" t="s">
        <v>96</v>
      </c>
      <c r="D71" s="6">
        <v>2.1948</v>
      </c>
      <c r="E71" s="6">
        <v>0</v>
      </c>
      <c r="F71" s="6">
        <v>0</v>
      </c>
      <c r="G71" s="6">
        <v>2019.2</v>
      </c>
      <c r="H71" s="6">
        <v>0</v>
      </c>
      <c r="I71" s="6">
        <v>0</v>
      </c>
      <c r="J71" s="6">
        <v>8038.3644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9">
        <f t="shared" si="3"/>
        <v>10059.7592</v>
      </c>
    </row>
    <row r="72" spans="1:18">
      <c r="A72" s="5" t="s">
        <v>24</v>
      </c>
      <c r="B72" s="5" t="s">
        <v>94</v>
      </c>
      <c r="C72" s="5" t="s">
        <v>97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107.316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9">
        <f t="shared" si="3"/>
        <v>107.316</v>
      </c>
    </row>
    <row r="73" spans="1:18">
      <c r="A73" s="5" t="s">
        <v>24</v>
      </c>
      <c r="B73" s="5" t="s">
        <v>94</v>
      </c>
      <c r="C73" s="5" t="s">
        <v>98</v>
      </c>
      <c r="D73" s="6">
        <v>1.3996</v>
      </c>
      <c r="E73" s="6">
        <v>0</v>
      </c>
      <c r="F73" s="6">
        <v>0</v>
      </c>
      <c r="G73" s="6">
        <v>572.4</v>
      </c>
      <c r="H73" s="6">
        <v>0</v>
      </c>
      <c r="I73" s="6">
        <v>17773.8855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9">
        <f t="shared" si="3"/>
        <v>18347.6851</v>
      </c>
    </row>
    <row r="74" spans="1:18">
      <c r="A74" s="5" t="s">
        <v>24</v>
      </c>
      <c r="B74" s="5" t="s">
        <v>94</v>
      </c>
      <c r="C74" s="5" t="s">
        <v>99</v>
      </c>
      <c r="D74" s="6">
        <v>1.161</v>
      </c>
      <c r="E74" s="6">
        <v>0</v>
      </c>
      <c r="F74" s="6">
        <v>0</v>
      </c>
      <c r="G74" s="6">
        <v>0</v>
      </c>
      <c r="H74" s="6">
        <v>0</v>
      </c>
      <c r="I74" s="6">
        <v>5.8035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9">
        <f t="shared" si="3"/>
        <v>6.9645</v>
      </c>
    </row>
    <row r="75" spans="1:18">
      <c r="A75" s="5" t="s">
        <v>24</v>
      </c>
      <c r="B75" s="5" t="s">
        <v>94</v>
      </c>
      <c r="C75" s="5" t="s">
        <v>100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3146.8815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9">
        <f t="shared" si="3"/>
        <v>3146.8815</v>
      </c>
    </row>
    <row r="76" spans="1:18">
      <c r="A76" s="5" t="s">
        <v>24</v>
      </c>
      <c r="B76" s="5" t="s">
        <v>94</v>
      </c>
      <c r="C76" s="5" t="s">
        <v>101</v>
      </c>
      <c r="D76" s="6">
        <v>3.7325</v>
      </c>
      <c r="E76" s="6">
        <v>0</v>
      </c>
      <c r="F76" s="6">
        <v>0</v>
      </c>
      <c r="G76" s="6">
        <v>0</v>
      </c>
      <c r="H76" s="6">
        <v>0</v>
      </c>
      <c r="I76" s="6">
        <v>320.385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9">
        <f t="shared" si="3"/>
        <v>324.1175</v>
      </c>
    </row>
    <row r="77" spans="1:18">
      <c r="A77" s="5" t="s">
        <v>24</v>
      </c>
      <c r="B77" s="5" t="s">
        <v>94</v>
      </c>
      <c r="C77" s="5" t="s">
        <v>102</v>
      </c>
      <c r="D77" s="6">
        <v>0.4279</v>
      </c>
      <c r="E77" s="6">
        <v>0</v>
      </c>
      <c r="F77" s="6">
        <v>0</v>
      </c>
      <c r="G77" s="6">
        <v>0</v>
      </c>
      <c r="H77" s="6">
        <v>0</v>
      </c>
      <c r="I77" s="6">
        <v>66.663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9">
        <f t="shared" si="3"/>
        <v>67.0909</v>
      </c>
    </row>
    <row r="78" spans="1:18">
      <c r="A78" s="5" t="s">
        <v>24</v>
      </c>
      <c r="B78" s="5" t="s">
        <v>94</v>
      </c>
      <c r="C78" s="5" t="s">
        <v>103</v>
      </c>
      <c r="D78" s="6">
        <v>0.2455</v>
      </c>
      <c r="E78" s="6">
        <v>0</v>
      </c>
      <c r="F78" s="6">
        <v>0</v>
      </c>
      <c r="G78" s="6">
        <v>0</v>
      </c>
      <c r="H78" s="6">
        <v>0</v>
      </c>
      <c r="I78" s="6">
        <v>8680.692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9">
        <f t="shared" si="3"/>
        <v>8680.9375</v>
      </c>
    </row>
    <row r="79" spans="1:18">
      <c r="A79" s="5" t="s">
        <v>24</v>
      </c>
      <c r="B79" s="5" t="s">
        <v>94</v>
      </c>
      <c r="C79" s="5" t="s">
        <v>104</v>
      </c>
      <c r="D79" s="6">
        <v>0.2862</v>
      </c>
      <c r="E79" s="6">
        <v>0</v>
      </c>
      <c r="F79" s="6">
        <v>0</v>
      </c>
      <c r="G79" s="6">
        <v>0</v>
      </c>
      <c r="H79" s="6">
        <v>0</v>
      </c>
      <c r="I79" s="6">
        <v>10040.43</v>
      </c>
      <c r="J79" s="6">
        <v>10584.0602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9">
        <f t="shared" si="3"/>
        <v>20624.7764</v>
      </c>
    </row>
    <row r="80" spans="1:18">
      <c r="A80" s="5" t="s">
        <v>24</v>
      </c>
      <c r="B80" s="5" t="s">
        <v>94</v>
      </c>
      <c r="C80" s="5" t="s">
        <v>105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1947.387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9">
        <f t="shared" si="3"/>
        <v>1947.387</v>
      </c>
    </row>
    <row r="81" spans="1:18">
      <c r="A81" s="5" t="s">
        <v>24</v>
      </c>
      <c r="B81" s="5" t="s">
        <v>94</v>
      </c>
      <c r="C81" s="5" t="s">
        <v>106</v>
      </c>
      <c r="D81" s="6">
        <v>0.4331</v>
      </c>
      <c r="E81" s="6">
        <v>0</v>
      </c>
      <c r="F81" s="6">
        <v>0</v>
      </c>
      <c r="G81" s="6">
        <v>0</v>
      </c>
      <c r="H81" s="6">
        <v>0</v>
      </c>
      <c r="I81" s="6">
        <v>60.8385</v>
      </c>
      <c r="J81" s="6">
        <v>17380.5306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9">
        <f t="shared" si="3"/>
        <v>17441.8022</v>
      </c>
    </row>
    <row r="82" spans="1:18">
      <c r="A82" s="5" t="s">
        <v>24</v>
      </c>
      <c r="B82" s="5" t="s">
        <v>94</v>
      </c>
      <c r="C82" s="5" t="s">
        <v>107</v>
      </c>
      <c r="D82" s="6">
        <v>1.3954</v>
      </c>
      <c r="E82" s="6">
        <v>0</v>
      </c>
      <c r="F82" s="6">
        <v>0</v>
      </c>
      <c r="G82" s="6">
        <v>0</v>
      </c>
      <c r="H82" s="6">
        <v>0</v>
      </c>
      <c r="I82" s="6">
        <v>10815.945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9">
        <f t="shared" si="3"/>
        <v>10817.3404</v>
      </c>
    </row>
    <row r="83" spans="1:18">
      <c r="A83" s="5" t="s">
        <v>24</v>
      </c>
      <c r="B83" s="5" t="s">
        <v>94</v>
      </c>
      <c r="C83" s="5" t="s">
        <v>108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48641.712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9">
        <f t="shared" si="3"/>
        <v>48641.712</v>
      </c>
    </row>
    <row r="84" spans="1:18">
      <c r="A84" s="5" t="s">
        <v>24</v>
      </c>
      <c r="B84" s="5" t="s">
        <v>94</v>
      </c>
      <c r="C84" s="5" t="s">
        <v>109</v>
      </c>
      <c r="D84" s="6">
        <v>0.7714</v>
      </c>
      <c r="E84" s="6">
        <v>6322.1299</v>
      </c>
      <c r="F84" s="6">
        <v>0</v>
      </c>
      <c r="G84" s="6">
        <v>0</v>
      </c>
      <c r="H84" s="6">
        <v>0</v>
      </c>
      <c r="I84" s="6">
        <v>3528.021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9">
        <f t="shared" si="3"/>
        <v>9850.9223</v>
      </c>
    </row>
    <row r="85" spans="1:18">
      <c r="A85" s="5" t="s">
        <v>24</v>
      </c>
      <c r="B85" s="5" t="s">
        <v>94</v>
      </c>
      <c r="C85" s="5" t="s">
        <v>110</v>
      </c>
      <c r="D85" s="6">
        <v>2.2781</v>
      </c>
      <c r="E85" s="6">
        <v>11.2896</v>
      </c>
      <c r="F85" s="6">
        <v>0</v>
      </c>
      <c r="G85" s="6">
        <v>0</v>
      </c>
      <c r="H85" s="6">
        <v>0</v>
      </c>
      <c r="I85" s="6">
        <v>284.043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9">
        <f t="shared" si="3"/>
        <v>297.6107</v>
      </c>
    </row>
    <row r="86" spans="1:18">
      <c r="A86" s="5" t="s">
        <v>24</v>
      </c>
      <c r="B86" s="5" t="s">
        <v>94</v>
      </c>
      <c r="C86" s="5" t="s">
        <v>111</v>
      </c>
      <c r="D86" s="6">
        <v>1.2668</v>
      </c>
      <c r="E86" s="6">
        <v>0</v>
      </c>
      <c r="F86" s="6">
        <v>0</v>
      </c>
      <c r="G86" s="6">
        <v>0</v>
      </c>
      <c r="H86" s="6">
        <v>0</v>
      </c>
      <c r="I86" s="6">
        <v>2.088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9">
        <f t="shared" si="3"/>
        <v>3.3548</v>
      </c>
    </row>
    <row r="87" spans="1:18">
      <c r="A87" s="5" t="s">
        <v>24</v>
      </c>
      <c r="B87" s="5" t="s">
        <v>94</v>
      </c>
      <c r="C87" s="5" t="s">
        <v>112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374.571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9">
        <f t="shared" si="3"/>
        <v>374.571</v>
      </c>
    </row>
    <row r="88" spans="1:18">
      <c r="A88" s="5" t="s">
        <v>24</v>
      </c>
      <c r="B88" s="5" t="s">
        <v>94</v>
      </c>
      <c r="C88" s="5" t="s">
        <v>113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13.863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9">
        <f t="shared" si="3"/>
        <v>13.863</v>
      </c>
    </row>
    <row r="89" spans="1:18">
      <c r="A89" s="5" t="s">
        <v>24</v>
      </c>
      <c r="B89" s="5" t="s">
        <v>94</v>
      </c>
      <c r="C89" s="5" t="s">
        <v>114</v>
      </c>
      <c r="D89" s="6">
        <v>0.3812</v>
      </c>
      <c r="E89" s="6">
        <v>0</v>
      </c>
      <c r="F89" s="6">
        <v>0</v>
      </c>
      <c r="G89" s="6">
        <v>0</v>
      </c>
      <c r="H89" s="6">
        <v>0</v>
      </c>
      <c r="I89" s="6">
        <v>413.9955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9">
        <f t="shared" si="3"/>
        <v>414.3767</v>
      </c>
    </row>
    <row r="90" spans="1:18">
      <c r="A90" s="5" t="s">
        <v>24</v>
      </c>
      <c r="B90" s="5" t="s">
        <v>94</v>
      </c>
      <c r="C90" s="5" t="s">
        <v>115</v>
      </c>
      <c r="D90" s="6">
        <v>0.5472</v>
      </c>
      <c r="E90" s="6">
        <v>0</v>
      </c>
      <c r="F90" s="6">
        <v>0</v>
      </c>
      <c r="G90" s="6">
        <v>0</v>
      </c>
      <c r="H90" s="6">
        <v>0</v>
      </c>
      <c r="I90" s="6">
        <v>2994.954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9">
        <f t="shared" si="3"/>
        <v>2995.5012</v>
      </c>
    </row>
    <row r="91" spans="1:18">
      <c r="A91" s="5" t="s">
        <v>24</v>
      </c>
      <c r="B91" s="5" t="s">
        <v>94</v>
      </c>
      <c r="C91" s="5" t="s">
        <v>116</v>
      </c>
      <c r="D91" s="6">
        <v>1.4287</v>
      </c>
      <c r="E91" s="6">
        <v>0</v>
      </c>
      <c r="F91" s="6">
        <v>0</v>
      </c>
      <c r="G91" s="6">
        <v>0</v>
      </c>
      <c r="H91" s="6">
        <v>0</v>
      </c>
      <c r="I91" s="6">
        <v>9649.035</v>
      </c>
      <c r="J91" s="6">
        <v>53169.48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9">
        <f t="shared" si="3"/>
        <v>62819.9437</v>
      </c>
    </row>
    <row r="92" spans="1:18">
      <c r="A92" s="5" t="s">
        <v>24</v>
      </c>
      <c r="B92" s="5" t="s">
        <v>94</v>
      </c>
      <c r="C92" s="5" t="s">
        <v>117</v>
      </c>
      <c r="D92" s="6">
        <v>0.9666</v>
      </c>
      <c r="E92" s="6">
        <v>0</v>
      </c>
      <c r="F92" s="6">
        <v>0</v>
      </c>
      <c r="G92" s="6">
        <v>0</v>
      </c>
      <c r="H92" s="6">
        <v>0</v>
      </c>
      <c r="I92" s="6">
        <v>181.8405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9">
        <f t="shared" si="3"/>
        <v>182.8071</v>
      </c>
    </row>
    <row r="93" spans="1:18">
      <c r="A93" s="5" t="s">
        <v>24</v>
      </c>
      <c r="B93" s="5" t="s">
        <v>94</v>
      </c>
      <c r="C93" s="5" t="s">
        <v>118</v>
      </c>
      <c r="D93" s="6">
        <v>1.6576</v>
      </c>
      <c r="E93" s="6">
        <v>0</v>
      </c>
      <c r="F93" s="6">
        <v>0</v>
      </c>
      <c r="G93" s="6">
        <v>1579.6</v>
      </c>
      <c r="H93" s="6">
        <v>0</v>
      </c>
      <c r="I93" s="6">
        <v>22.017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9">
        <f t="shared" si="3"/>
        <v>1603.2746</v>
      </c>
    </row>
    <row r="94" spans="1:18">
      <c r="A94" s="5" t="s">
        <v>24</v>
      </c>
      <c r="B94" s="5" t="s">
        <v>94</v>
      </c>
      <c r="C94" s="5" t="s">
        <v>119</v>
      </c>
      <c r="D94" s="6">
        <v>0.8515</v>
      </c>
      <c r="E94" s="6">
        <v>0</v>
      </c>
      <c r="F94" s="6">
        <v>0</v>
      </c>
      <c r="G94" s="6">
        <v>0</v>
      </c>
      <c r="H94" s="6">
        <v>0</v>
      </c>
      <c r="I94" s="6">
        <v>41340.5295</v>
      </c>
      <c r="J94" s="6">
        <v>43814.364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9">
        <f t="shared" si="3"/>
        <v>85155.745</v>
      </c>
    </row>
    <row r="95" spans="1:18">
      <c r="A95" s="5" t="s">
        <v>24</v>
      </c>
      <c r="B95" s="5" t="s">
        <v>94</v>
      </c>
      <c r="C95" s="5" t="s">
        <v>120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486.5445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9">
        <f t="shared" si="3"/>
        <v>486.5445</v>
      </c>
    </row>
    <row r="96" spans="1:18">
      <c r="A96" s="5" t="s">
        <v>24</v>
      </c>
      <c r="B96" s="5" t="s">
        <v>94</v>
      </c>
      <c r="C96" s="5" t="s">
        <v>121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179089.1445</v>
      </c>
      <c r="J96" s="6">
        <v>31638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9">
        <f t="shared" si="3"/>
        <v>210727.1445</v>
      </c>
    </row>
    <row r="97" spans="1:18">
      <c r="A97" s="5" t="s">
        <v>24</v>
      </c>
      <c r="B97" s="5" t="s">
        <v>94</v>
      </c>
      <c r="C97" s="5" t="s">
        <v>122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88.4205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9">
        <f t="shared" si="3"/>
        <v>88.4205</v>
      </c>
    </row>
    <row r="98" spans="1:18">
      <c r="A98" s="5" t="s">
        <v>24</v>
      </c>
      <c r="B98" s="5" t="s">
        <v>94</v>
      </c>
      <c r="C98" s="5" t="s">
        <v>123</v>
      </c>
      <c r="D98" s="6">
        <v>3.4279</v>
      </c>
      <c r="E98" s="6">
        <v>0</v>
      </c>
      <c r="F98" s="6">
        <v>0</v>
      </c>
      <c r="G98" s="6">
        <v>2135.2</v>
      </c>
      <c r="H98" s="6">
        <v>0</v>
      </c>
      <c r="I98" s="6">
        <v>5630.553</v>
      </c>
      <c r="J98" s="6">
        <v>26335.7012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9">
        <f t="shared" si="3"/>
        <v>34104.8821</v>
      </c>
    </row>
    <row r="99" spans="1:18">
      <c r="A99" s="5" t="s">
        <v>24</v>
      </c>
      <c r="B99" s="5" t="s">
        <v>94</v>
      </c>
      <c r="C99" s="5" t="s">
        <v>124</v>
      </c>
      <c r="D99" s="6">
        <v>0.6142</v>
      </c>
      <c r="E99" s="6">
        <v>0</v>
      </c>
      <c r="F99" s="6">
        <v>0</v>
      </c>
      <c r="G99" s="6">
        <v>0</v>
      </c>
      <c r="H99" s="6">
        <v>0</v>
      </c>
      <c r="I99" s="6">
        <v>39613.311</v>
      </c>
      <c r="J99" s="6">
        <v>15721.9142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9">
        <f t="shared" si="3"/>
        <v>55335.8394</v>
      </c>
    </row>
    <row r="100" spans="1:18">
      <c r="A100" s="5" t="s">
        <v>24</v>
      </c>
      <c r="B100" s="5" t="s">
        <v>94</v>
      </c>
      <c r="C100" s="5" t="s">
        <v>125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9">
        <f t="shared" si="3"/>
        <v>0</v>
      </c>
    </row>
    <row r="101" spans="1:18">
      <c r="A101" s="5" t="s">
        <v>24</v>
      </c>
      <c r="B101" s="5" t="s">
        <v>94</v>
      </c>
      <c r="C101" s="5" t="s">
        <v>126</v>
      </c>
      <c r="D101" s="6">
        <v>1.4239</v>
      </c>
      <c r="E101" s="6">
        <v>0</v>
      </c>
      <c r="F101" s="6">
        <v>0</v>
      </c>
      <c r="G101" s="6">
        <v>871.6</v>
      </c>
      <c r="H101" s="6">
        <v>0</v>
      </c>
      <c r="I101" s="6">
        <v>75.0945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9">
        <f t="shared" si="3"/>
        <v>948.1184</v>
      </c>
    </row>
    <row r="102" spans="1:18">
      <c r="A102" s="5" t="s">
        <v>24</v>
      </c>
      <c r="B102" s="5" t="s">
        <v>94</v>
      </c>
      <c r="C102" s="5" t="s">
        <v>127</v>
      </c>
      <c r="D102" s="6">
        <v>1.0504</v>
      </c>
      <c r="E102" s="6">
        <v>0</v>
      </c>
      <c r="F102" s="6">
        <v>0</v>
      </c>
      <c r="G102" s="6">
        <v>0</v>
      </c>
      <c r="H102" s="6">
        <v>0</v>
      </c>
      <c r="I102" s="6">
        <v>642.3885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9">
        <f t="shared" ref="R102:R133" si="4">SUM(D102:Q102)</f>
        <v>643.4389</v>
      </c>
    </row>
    <row r="103" spans="1:18">
      <c r="A103" s="5" t="s">
        <v>24</v>
      </c>
      <c r="B103" s="5" t="s">
        <v>94</v>
      </c>
      <c r="C103" s="5" t="s">
        <v>128</v>
      </c>
      <c r="D103" s="6">
        <v>0.1062</v>
      </c>
      <c r="E103" s="6">
        <v>0</v>
      </c>
      <c r="F103" s="6">
        <v>0</v>
      </c>
      <c r="G103" s="6">
        <v>0</v>
      </c>
      <c r="H103" s="6">
        <v>0</v>
      </c>
      <c r="I103" s="6">
        <v>52320.333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9">
        <f t="shared" si="4"/>
        <v>52320.4392</v>
      </c>
    </row>
    <row r="104" spans="1:18">
      <c r="A104" s="5" t="s">
        <v>24</v>
      </c>
      <c r="B104" s="5" t="s">
        <v>94</v>
      </c>
      <c r="C104" s="5" t="s">
        <v>129</v>
      </c>
      <c r="D104" s="6">
        <v>0.4712</v>
      </c>
      <c r="E104" s="6">
        <v>0</v>
      </c>
      <c r="F104" s="6">
        <v>0</v>
      </c>
      <c r="G104" s="6">
        <v>0</v>
      </c>
      <c r="H104" s="6">
        <v>0</v>
      </c>
      <c r="I104" s="6">
        <v>57.9735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9">
        <f t="shared" si="4"/>
        <v>58.4447</v>
      </c>
    </row>
    <row r="105" spans="1:18">
      <c r="A105" s="5" t="s">
        <v>24</v>
      </c>
      <c r="B105" s="5" t="s">
        <v>94</v>
      </c>
      <c r="C105" s="5" t="s">
        <v>130</v>
      </c>
      <c r="D105" s="6">
        <v>7.2299</v>
      </c>
      <c r="E105" s="6">
        <v>0</v>
      </c>
      <c r="F105" s="6">
        <v>0</v>
      </c>
      <c r="G105" s="6">
        <v>4274.4</v>
      </c>
      <c r="H105" s="6">
        <v>0</v>
      </c>
      <c r="I105" s="6">
        <v>82.167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9">
        <f t="shared" si="4"/>
        <v>4363.7969</v>
      </c>
    </row>
    <row r="106" spans="1:18">
      <c r="A106" s="5" t="s">
        <v>24</v>
      </c>
      <c r="B106" s="5" t="s">
        <v>94</v>
      </c>
      <c r="C106" s="5" t="s">
        <v>131</v>
      </c>
      <c r="D106" s="6">
        <v>0.3264</v>
      </c>
      <c r="E106" s="6">
        <v>0</v>
      </c>
      <c r="F106" s="6">
        <v>0</v>
      </c>
      <c r="G106" s="6">
        <v>0</v>
      </c>
      <c r="H106" s="6">
        <v>0</v>
      </c>
      <c r="I106" s="6">
        <v>29166.909</v>
      </c>
      <c r="J106" s="6">
        <v>7354.3584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9">
        <f t="shared" si="4"/>
        <v>36521.5938</v>
      </c>
    </row>
    <row r="107" spans="1:18">
      <c r="A107" s="5" t="s">
        <v>24</v>
      </c>
      <c r="B107" s="5" t="s">
        <v>94</v>
      </c>
      <c r="C107" s="5" t="s">
        <v>132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838.3845</v>
      </c>
      <c r="J107" s="6">
        <v>13872.05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9">
        <f t="shared" si="4"/>
        <v>14710.4345</v>
      </c>
    </row>
    <row r="108" spans="1:18">
      <c r="A108" s="5" t="s">
        <v>24</v>
      </c>
      <c r="B108" s="5" t="s">
        <v>94</v>
      </c>
      <c r="C108" s="5" t="s">
        <v>133</v>
      </c>
      <c r="D108" s="6">
        <v>0.3949</v>
      </c>
      <c r="E108" s="6">
        <v>440.4096</v>
      </c>
      <c r="F108" s="6">
        <v>0</v>
      </c>
      <c r="G108" s="6">
        <v>808.8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9">
        <f t="shared" si="4"/>
        <v>1249.6045</v>
      </c>
    </row>
    <row r="109" spans="1:18">
      <c r="A109" s="5" t="s">
        <v>24</v>
      </c>
      <c r="B109" s="5" t="s">
        <v>94</v>
      </c>
      <c r="C109" s="5" t="s">
        <v>134</v>
      </c>
      <c r="D109" s="6">
        <v>0.7235</v>
      </c>
      <c r="E109" s="6">
        <v>97.2</v>
      </c>
      <c r="F109" s="6">
        <v>0</v>
      </c>
      <c r="G109" s="6">
        <v>0</v>
      </c>
      <c r="H109" s="6">
        <v>0</v>
      </c>
      <c r="I109" s="6">
        <v>126.609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9">
        <f t="shared" si="4"/>
        <v>224.5325</v>
      </c>
    </row>
    <row r="110" spans="1:18">
      <c r="A110" s="5" t="s">
        <v>24</v>
      </c>
      <c r="B110" s="5" t="s">
        <v>94</v>
      </c>
      <c r="C110" s="5" t="s">
        <v>135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186.9795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9">
        <f t="shared" si="4"/>
        <v>186.9795</v>
      </c>
    </row>
    <row r="111" spans="1:18">
      <c r="A111" s="5" t="s">
        <v>24</v>
      </c>
      <c r="B111" s="5" t="s">
        <v>94</v>
      </c>
      <c r="C111" s="5" t="s">
        <v>136</v>
      </c>
      <c r="D111" s="6">
        <v>1.1668</v>
      </c>
      <c r="E111" s="6">
        <v>0</v>
      </c>
      <c r="F111" s="6">
        <v>0</v>
      </c>
      <c r="G111" s="6">
        <v>0</v>
      </c>
      <c r="H111" s="6">
        <v>0</v>
      </c>
      <c r="I111" s="6">
        <v>23.4915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9">
        <f t="shared" si="4"/>
        <v>24.6583</v>
      </c>
    </row>
    <row r="112" spans="1:18">
      <c r="A112" s="5" t="s">
        <v>24</v>
      </c>
      <c r="B112" s="5" t="s">
        <v>94</v>
      </c>
      <c r="C112" s="5" t="s">
        <v>137</v>
      </c>
      <c r="D112" s="6">
        <v>0.783</v>
      </c>
      <c r="E112" s="6">
        <v>0</v>
      </c>
      <c r="F112" s="6">
        <v>0</v>
      </c>
      <c r="G112" s="6">
        <v>0</v>
      </c>
      <c r="H112" s="6">
        <v>0</v>
      </c>
      <c r="I112" s="6">
        <v>146.3835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9">
        <f t="shared" si="4"/>
        <v>147.1665</v>
      </c>
    </row>
    <row r="113" spans="1:18">
      <c r="A113" s="5" t="s">
        <v>24</v>
      </c>
      <c r="B113" s="5" t="s">
        <v>94</v>
      </c>
      <c r="C113" s="5" t="s">
        <v>138</v>
      </c>
      <c r="D113" s="6">
        <v>0.0709</v>
      </c>
      <c r="E113" s="6">
        <v>0</v>
      </c>
      <c r="F113" s="6">
        <v>0</v>
      </c>
      <c r="G113" s="6">
        <v>0</v>
      </c>
      <c r="H113" s="6">
        <v>0</v>
      </c>
      <c r="I113" s="6">
        <v>29863.89</v>
      </c>
      <c r="J113" s="6">
        <v>6712.4824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9">
        <f t="shared" si="4"/>
        <v>36576.4433</v>
      </c>
    </row>
    <row r="114" spans="1:18">
      <c r="A114" s="5" t="s">
        <v>24</v>
      </c>
      <c r="B114" s="5" t="s">
        <v>94</v>
      </c>
      <c r="C114" s="5" t="s">
        <v>139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69.2025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9">
        <f t="shared" si="4"/>
        <v>69.2025</v>
      </c>
    </row>
    <row r="115" spans="1:18">
      <c r="A115" s="5" t="s">
        <v>24</v>
      </c>
      <c r="B115" s="5" t="s">
        <v>94</v>
      </c>
      <c r="C115" s="5" t="s">
        <v>140</v>
      </c>
      <c r="D115" s="6">
        <v>9.9799</v>
      </c>
      <c r="E115" s="6">
        <v>0</v>
      </c>
      <c r="F115" s="6">
        <v>0</v>
      </c>
      <c r="G115" s="6">
        <v>0</v>
      </c>
      <c r="H115" s="6">
        <v>0</v>
      </c>
      <c r="I115" s="6">
        <v>31981.3845</v>
      </c>
      <c r="J115" s="6">
        <v>100162.2875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9">
        <f t="shared" si="4"/>
        <v>132153.6519</v>
      </c>
    </row>
    <row r="116" spans="1:18">
      <c r="A116" s="5" t="s">
        <v>24</v>
      </c>
      <c r="B116" s="5" t="s">
        <v>94</v>
      </c>
      <c r="C116" s="5" t="s">
        <v>141</v>
      </c>
      <c r="D116" s="6">
        <v>0.0683</v>
      </c>
      <c r="E116" s="6">
        <v>0</v>
      </c>
      <c r="F116" s="6">
        <v>0</v>
      </c>
      <c r="G116" s="6">
        <v>0</v>
      </c>
      <c r="H116" s="6">
        <v>0</v>
      </c>
      <c r="I116" s="6">
        <v>194.754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9">
        <f t="shared" si="4"/>
        <v>194.8223</v>
      </c>
    </row>
    <row r="117" spans="1:18">
      <c r="A117" s="5" t="s">
        <v>24</v>
      </c>
      <c r="B117" s="5" t="s">
        <v>94</v>
      </c>
      <c r="C117" s="5" t="s">
        <v>142</v>
      </c>
      <c r="D117" s="6">
        <v>0.2538</v>
      </c>
      <c r="E117" s="6">
        <v>0</v>
      </c>
      <c r="F117" s="6">
        <v>0</v>
      </c>
      <c r="G117" s="6">
        <v>0</v>
      </c>
      <c r="H117" s="6">
        <v>0</v>
      </c>
      <c r="I117" s="6">
        <v>50544.2955</v>
      </c>
      <c r="J117" s="6">
        <v>15200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9">
        <f t="shared" si="4"/>
        <v>65744.5493</v>
      </c>
    </row>
    <row r="118" spans="1:18">
      <c r="A118" s="5" t="s">
        <v>24</v>
      </c>
      <c r="B118" s="5" t="s">
        <v>94</v>
      </c>
      <c r="C118" s="5" t="s">
        <v>143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9">
        <f t="shared" si="4"/>
        <v>0</v>
      </c>
    </row>
    <row r="119" spans="1:18">
      <c r="A119" s="5" t="s">
        <v>24</v>
      </c>
      <c r="B119" s="5" t="s">
        <v>94</v>
      </c>
      <c r="C119" s="5" t="s">
        <v>144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696.2085</v>
      </c>
      <c r="J119" s="6">
        <v>17412.975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9">
        <f t="shared" si="4"/>
        <v>18109.1835</v>
      </c>
    </row>
    <row r="120" spans="1:18">
      <c r="A120" s="5" t="s">
        <v>24</v>
      </c>
      <c r="B120" s="5" t="s">
        <v>94</v>
      </c>
      <c r="C120" s="5" t="s">
        <v>145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9">
        <f t="shared" si="4"/>
        <v>0</v>
      </c>
    </row>
    <row r="121" spans="1:18">
      <c r="A121" s="5" t="s">
        <v>24</v>
      </c>
      <c r="B121" s="5" t="s">
        <v>94</v>
      </c>
      <c r="C121" s="5" t="s">
        <v>146</v>
      </c>
      <c r="D121" s="6">
        <v>0.0846</v>
      </c>
      <c r="E121" s="6">
        <v>0</v>
      </c>
      <c r="F121" s="6">
        <v>0</v>
      </c>
      <c r="G121" s="6">
        <v>0</v>
      </c>
      <c r="H121" s="6">
        <v>0</v>
      </c>
      <c r="I121" s="6">
        <v>3.897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9">
        <f t="shared" si="4"/>
        <v>3.9816</v>
      </c>
    </row>
    <row r="122" spans="1:18">
      <c r="A122" s="5" t="s">
        <v>24</v>
      </c>
      <c r="B122" s="5" t="s">
        <v>94</v>
      </c>
      <c r="C122" s="5" t="s">
        <v>147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301.8255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9">
        <f t="shared" si="4"/>
        <v>301.8255</v>
      </c>
    </row>
    <row r="123" spans="1:18">
      <c r="A123" s="5" t="s">
        <v>24</v>
      </c>
      <c r="B123" s="5" t="s">
        <v>94</v>
      </c>
      <c r="C123" s="5" t="s">
        <v>148</v>
      </c>
      <c r="D123" s="6">
        <v>1.2257</v>
      </c>
      <c r="E123" s="6">
        <v>0</v>
      </c>
      <c r="F123" s="6">
        <v>0</v>
      </c>
      <c r="G123" s="6">
        <v>1636.8</v>
      </c>
      <c r="H123" s="6">
        <v>0</v>
      </c>
      <c r="I123" s="6">
        <v>54.624</v>
      </c>
      <c r="J123" s="6">
        <v>17360.4211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9">
        <f t="shared" si="4"/>
        <v>19053.0708</v>
      </c>
    </row>
    <row r="124" spans="1:18">
      <c r="A124" s="5" t="s">
        <v>24</v>
      </c>
      <c r="B124" s="5" t="s">
        <v>94</v>
      </c>
      <c r="C124" s="5" t="s">
        <v>149</v>
      </c>
      <c r="D124" s="6">
        <v>5.9202</v>
      </c>
      <c r="E124" s="6">
        <v>0</v>
      </c>
      <c r="F124" s="6">
        <v>0</v>
      </c>
      <c r="G124" s="6">
        <v>2782.4</v>
      </c>
      <c r="H124" s="6">
        <v>0</v>
      </c>
      <c r="I124" s="6">
        <v>33470.1</v>
      </c>
      <c r="J124" s="6">
        <v>4560.7573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9">
        <f t="shared" si="4"/>
        <v>40819.1775</v>
      </c>
    </row>
    <row r="125" spans="1:18">
      <c r="A125" s="5" t="s">
        <v>24</v>
      </c>
      <c r="B125" s="5" t="s">
        <v>94</v>
      </c>
      <c r="C125" s="5" t="s">
        <v>150</v>
      </c>
      <c r="D125" s="6">
        <v>1.3903</v>
      </c>
      <c r="E125" s="6">
        <v>0</v>
      </c>
      <c r="F125" s="6">
        <v>0</v>
      </c>
      <c r="G125" s="6">
        <v>0</v>
      </c>
      <c r="H125" s="6">
        <v>0</v>
      </c>
      <c r="I125" s="6">
        <v>53497.545</v>
      </c>
      <c r="J125" s="6">
        <v>96180.762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9">
        <f t="shared" si="4"/>
        <v>149679.6973</v>
      </c>
    </row>
    <row r="126" spans="1:18">
      <c r="A126" s="5" t="s">
        <v>24</v>
      </c>
      <c r="B126" s="5" t="s">
        <v>94</v>
      </c>
      <c r="C126" s="5" t="s">
        <v>151</v>
      </c>
      <c r="D126" s="6">
        <v>9.7195</v>
      </c>
      <c r="E126" s="6">
        <v>0</v>
      </c>
      <c r="F126" s="6">
        <v>0</v>
      </c>
      <c r="G126" s="6">
        <v>5286</v>
      </c>
      <c r="H126" s="6">
        <v>0</v>
      </c>
      <c r="I126" s="6">
        <v>191252.7045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9">
        <f t="shared" si="4"/>
        <v>196548.424</v>
      </c>
    </row>
    <row r="127" spans="1:18">
      <c r="A127" s="5" t="s">
        <v>24</v>
      </c>
      <c r="B127" s="5" t="s">
        <v>94</v>
      </c>
      <c r="C127" s="5" t="s">
        <v>152</v>
      </c>
      <c r="D127" s="6">
        <v>0.1318</v>
      </c>
      <c r="E127" s="6">
        <v>0</v>
      </c>
      <c r="F127" s="6">
        <v>0</v>
      </c>
      <c r="G127" s="6">
        <v>0</v>
      </c>
      <c r="H127" s="6">
        <v>0</v>
      </c>
      <c r="I127" s="6">
        <v>80.1465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9">
        <f t="shared" si="4"/>
        <v>80.2783</v>
      </c>
    </row>
    <row r="128" spans="1:18">
      <c r="A128" s="5" t="s">
        <v>24</v>
      </c>
      <c r="B128" s="5" t="s">
        <v>94</v>
      </c>
      <c r="C128" s="5" t="s">
        <v>153</v>
      </c>
      <c r="D128" s="6">
        <v>0.1163</v>
      </c>
      <c r="E128" s="6">
        <v>2.88</v>
      </c>
      <c r="F128" s="6">
        <v>0</v>
      </c>
      <c r="G128" s="6">
        <v>0</v>
      </c>
      <c r="H128" s="6">
        <v>0</v>
      </c>
      <c r="I128" s="6">
        <v>13.6935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9">
        <f t="shared" si="4"/>
        <v>16.6898</v>
      </c>
    </row>
    <row r="129" spans="1:18">
      <c r="A129" s="5" t="s">
        <v>24</v>
      </c>
      <c r="B129" s="5" t="s">
        <v>94</v>
      </c>
      <c r="C129" s="5" t="s">
        <v>154</v>
      </c>
      <c r="D129" s="6">
        <v>0.6796</v>
      </c>
      <c r="E129" s="6">
        <v>0</v>
      </c>
      <c r="F129" s="6">
        <v>0</v>
      </c>
      <c r="G129" s="6">
        <v>880.8</v>
      </c>
      <c r="H129" s="6">
        <v>0</v>
      </c>
      <c r="I129" s="6">
        <v>55836.951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9">
        <f t="shared" si="4"/>
        <v>56718.4306</v>
      </c>
    </row>
    <row r="130" spans="1:18">
      <c r="A130" s="5" t="s">
        <v>24</v>
      </c>
      <c r="B130" s="5" t="s">
        <v>94</v>
      </c>
      <c r="C130" s="5" t="s">
        <v>155</v>
      </c>
      <c r="D130" s="6">
        <v>3.2024</v>
      </c>
      <c r="E130" s="6">
        <v>0</v>
      </c>
      <c r="F130" s="6">
        <v>0</v>
      </c>
      <c r="G130" s="6">
        <v>2562.4</v>
      </c>
      <c r="H130" s="6">
        <v>0</v>
      </c>
      <c r="I130" s="6">
        <v>314.4435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9">
        <f t="shared" si="4"/>
        <v>2880.0459</v>
      </c>
    </row>
    <row r="131" spans="1:18">
      <c r="A131" s="5" t="s">
        <v>24</v>
      </c>
      <c r="B131" s="5" t="s">
        <v>94</v>
      </c>
      <c r="C131" s="5" t="s">
        <v>156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15.411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9">
        <f t="shared" si="4"/>
        <v>15.411</v>
      </c>
    </row>
    <row r="132" spans="1:18">
      <c r="A132" s="5" t="s">
        <v>24</v>
      </c>
      <c r="B132" s="5" t="s">
        <v>94</v>
      </c>
      <c r="C132" s="5" t="s">
        <v>157</v>
      </c>
      <c r="D132" s="6">
        <v>0.6416</v>
      </c>
      <c r="E132" s="6">
        <v>0</v>
      </c>
      <c r="F132" s="6">
        <v>0</v>
      </c>
      <c r="G132" s="6">
        <v>477.6</v>
      </c>
      <c r="H132" s="6">
        <v>0</v>
      </c>
      <c r="I132" s="6">
        <v>0.2775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9">
        <f t="shared" si="4"/>
        <v>478.5191</v>
      </c>
    </row>
    <row r="133" spans="1:18">
      <c r="A133" s="5" t="s">
        <v>24</v>
      </c>
      <c r="B133" s="5" t="s">
        <v>94</v>
      </c>
      <c r="C133" s="5" t="s">
        <v>158</v>
      </c>
      <c r="D133" s="6">
        <v>0.1264</v>
      </c>
      <c r="E133" s="6">
        <v>0</v>
      </c>
      <c r="F133" s="6">
        <v>0</v>
      </c>
      <c r="G133" s="6">
        <v>0</v>
      </c>
      <c r="H133" s="6">
        <v>0</v>
      </c>
      <c r="I133" s="6">
        <v>0.3435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9">
        <f t="shared" si="4"/>
        <v>0.4699</v>
      </c>
    </row>
    <row r="134" spans="1:18">
      <c r="A134" s="5" t="s">
        <v>24</v>
      </c>
      <c r="B134" s="5" t="s">
        <v>94</v>
      </c>
      <c r="C134" s="5" t="s">
        <v>159</v>
      </c>
      <c r="D134" s="6">
        <v>1.8396</v>
      </c>
      <c r="E134" s="6">
        <v>0</v>
      </c>
      <c r="F134" s="6">
        <v>0</v>
      </c>
      <c r="G134" s="6">
        <v>702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9">
        <f t="shared" ref="R134:R165" si="5">SUM(D134:Q134)</f>
        <v>703.8396</v>
      </c>
    </row>
    <row r="135" spans="1:18">
      <c r="A135" s="5" t="s">
        <v>24</v>
      </c>
      <c r="B135" s="5" t="s">
        <v>94</v>
      </c>
      <c r="C135" s="5" t="s">
        <v>160</v>
      </c>
      <c r="D135" s="6">
        <v>0.9395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9">
        <f t="shared" si="5"/>
        <v>0.9395</v>
      </c>
    </row>
    <row r="136" spans="1:18">
      <c r="A136" s="5" t="s">
        <v>24</v>
      </c>
      <c r="B136" s="5" t="s">
        <v>94</v>
      </c>
      <c r="C136" s="5" t="s">
        <v>161</v>
      </c>
      <c r="D136" s="6">
        <v>0.7978</v>
      </c>
      <c r="E136" s="6">
        <v>0</v>
      </c>
      <c r="F136" s="6">
        <v>0</v>
      </c>
      <c r="G136" s="6">
        <v>430.4</v>
      </c>
      <c r="H136" s="6">
        <v>0</v>
      </c>
      <c r="I136" s="6">
        <v>189.1185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9">
        <f t="shared" si="5"/>
        <v>620.3163</v>
      </c>
    </row>
    <row r="137" spans="1:18">
      <c r="A137" s="5" t="s">
        <v>24</v>
      </c>
      <c r="B137" s="5" t="s">
        <v>94</v>
      </c>
      <c r="C137" s="5" t="s">
        <v>162</v>
      </c>
      <c r="D137" s="6">
        <v>0.4573</v>
      </c>
      <c r="E137" s="6">
        <v>0</v>
      </c>
      <c r="F137" s="6">
        <v>0</v>
      </c>
      <c r="G137" s="6">
        <v>0</v>
      </c>
      <c r="H137" s="6">
        <v>0</v>
      </c>
      <c r="I137" s="6">
        <v>2141.388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9">
        <f t="shared" si="5"/>
        <v>2141.8453</v>
      </c>
    </row>
    <row r="138" spans="1:18">
      <c r="A138" s="5" t="s">
        <v>24</v>
      </c>
      <c r="B138" s="5" t="s">
        <v>94</v>
      </c>
      <c r="C138" s="5" t="s">
        <v>163</v>
      </c>
      <c r="D138" s="6">
        <v>0.691</v>
      </c>
      <c r="E138" s="6">
        <v>0</v>
      </c>
      <c r="F138" s="6">
        <v>0</v>
      </c>
      <c r="G138" s="6">
        <v>0</v>
      </c>
      <c r="H138" s="6">
        <v>0</v>
      </c>
      <c r="I138" s="6">
        <v>107.1495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9">
        <f t="shared" si="5"/>
        <v>107.8405</v>
      </c>
    </row>
    <row r="139" spans="1:18">
      <c r="A139" s="5" t="s">
        <v>24</v>
      </c>
      <c r="B139" s="5" t="s">
        <v>94</v>
      </c>
      <c r="C139" s="5" t="s">
        <v>164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463.989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9">
        <f t="shared" si="5"/>
        <v>463.989</v>
      </c>
    </row>
    <row r="140" spans="1:18">
      <c r="A140" s="5" t="s">
        <v>24</v>
      </c>
      <c r="B140" s="5" t="s">
        <v>94</v>
      </c>
      <c r="C140" s="5" t="s">
        <v>165</v>
      </c>
      <c r="D140" s="6">
        <v>2.3945</v>
      </c>
      <c r="E140" s="6">
        <v>0</v>
      </c>
      <c r="F140" s="6">
        <v>0</v>
      </c>
      <c r="G140" s="6">
        <v>0</v>
      </c>
      <c r="H140" s="6">
        <v>0</v>
      </c>
      <c r="I140" s="6">
        <v>1529.511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9">
        <f t="shared" si="5"/>
        <v>1531.9055</v>
      </c>
    </row>
    <row r="141" spans="1:18">
      <c r="A141" s="5" t="s">
        <v>24</v>
      </c>
      <c r="B141" s="5" t="s">
        <v>94</v>
      </c>
      <c r="C141" s="5" t="s">
        <v>166</v>
      </c>
      <c r="D141" s="6">
        <v>0.5242</v>
      </c>
      <c r="E141" s="6">
        <v>0</v>
      </c>
      <c r="F141" s="6">
        <v>0</v>
      </c>
      <c r="G141" s="6">
        <v>0</v>
      </c>
      <c r="H141" s="6">
        <v>0</v>
      </c>
      <c r="I141" s="6">
        <v>1615.0875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9">
        <f t="shared" si="5"/>
        <v>1615.6117</v>
      </c>
    </row>
    <row r="142" spans="1:18">
      <c r="A142" s="5" t="s">
        <v>24</v>
      </c>
      <c r="B142" s="5" t="s">
        <v>94</v>
      </c>
      <c r="C142" s="5" t="s">
        <v>167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144.537</v>
      </c>
      <c r="J142" s="6">
        <v>19374.105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9">
        <f t="shared" si="5"/>
        <v>19518.642</v>
      </c>
    </row>
    <row r="143" spans="1:18">
      <c r="A143" s="5" t="s">
        <v>24</v>
      </c>
      <c r="B143" s="5" t="s">
        <v>94</v>
      </c>
      <c r="C143" s="5" t="s">
        <v>168</v>
      </c>
      <c r="D143" s="6">
        <v>0.3478</v>
      </c>
      <c r="E143" s="6">
        <v>0</v>
      </c>
      <c r="F143" s="6">
        <v>0</v>
      </c>
      <c r="G143" s="6">
        <v>0</v>
      </c>
      <c r="H143" s="6">
        <v>0</v>
      </c>
      <c r="I143" s="6">
        <v>218.0205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9">
        <f t="shared" si="5"/>
        <v>218.3683</v>
      </c>
    </row>
    <row r="144" spans="1:18">
      <c r="A144" s="5" t="s">
        <v>24</v>
      </c>
      <c r="B144" s="5" t="s">
        <v>94</v>
      </c>
      <c r="C144" s="5" t="s">
        <v>169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319.155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9">
        <f t="shared" si="5"/>
        <v>319.155</v>
      </c>
    </row>
    <row r="145" spans="1:18">
      <c r="A145" s="5" t="s">
        <v>24</v>
      </c>
      <c r="B145" s="5" t="s">
        <v>94</v>
      </c>
      <c r="C145" s="5" t="s">
        <v>170</v>
      </c>
      <c r="D145" s="6">
        <v>0.3758</v>
      </c>
      <c r="E145" s="6">
        <v>0</v>
      </c>
      <c r="F145" s="6">
        <v>0</v>
      </c>
      <c r="G145" s="6">
        <v>0</v>
      </c>
      <c r="H145" s="6">
        <v>0</v>
      </c>
      <c r="I145" s="6">
        <v>560.682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9">
        <f t="shared" si="5"/>
        <v>561.0578</v>
      </c>
    </row>
    <row r="146" spans="1:18">
      <c r="A146" s="5" t="s">
        <v>24</v>
      </c>
      <c r="B146" s="5" t="s">
        <v>94</v>
      </c>
      <c r="C146" s="5" t="s">
        <v>171</v>
      </c>
      <c r="D146" s="6">
        <v>0.2171</v>
      </c>
      <c r="E146" s="6">
        <v>0</v>
      </c>
      <c r="F146" s="6">
        <v>0</v>
      </c>
      <c r="G146" s="6">
        <v>0</v>
      </c>
      <c r="H146" s="6">
        <v>0</v>
      </c>
      <c r="I146" s="6">
        <v>326.5455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9">
        <f t="shared" si="5"/>
        <v>326.7626</v>
      </c>
    </row>
    <row r="147" spans="1:18">
      <c r="A147" s="5" t="s">
        <v>24</v>
      </c>
      <c r="B147" s="5" t="s">
        <v>94</v>
      </c>
      <c r="C147" s="5" t="s">
        <v>172</v>
      </c>
      <c r="D147" s="6">
        <v>2.2651</v>
      </c>
      <c r="E147" s="6">
        <v>0</v>
      </c>
      <c r="F147" s="6">
        <v>0</v>
      </c>
      <c r="G147" s="6">
        <v>0</v>
      </c>
      <c r="H147" s="6">
        <v>0</v>
      </c>
      <c r="I147" s="6">
        <v>230212.383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9">
        <f t="shared" si="5"/>
        <v>230214.6481</v>
      </c>
    </row>
    <row r="148" spans="1:18">
      <c r="A148" s="5" t="s">
        <v>24</v>
      </c>
      <c r="B148" s="5" t="s">
        <v>94</v>
      </c>
      <c r="C148" s="5" t="s">
        <v>173</v>
      </c>
      <c r="D148" s="6">
        <v>1.6494</v>
      </c>
      <c r="E148" s="6">
        <v>0</v>
      </c>
      <c r="F148" s="6">
        <v>0</v>
      </c>
      <c r="G148" s="6">
        <v>0</v>
      </c>
      <c r="H148" s="6">
        <v>0</v>
      </c>
      <c r="I148" s="6">
        <v>3970.4475</v>
      </c>
      <c r="J148" s="6">
        <v>20990.3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9">
        <f t="shared" si="5"/>
        <v>24962.3969</v>
      </c>
    </row>
    <row r="149" spans="1:18">
      <c r="A149" s="5" t="s">
        <v>24</v>
      </c>
      <c r="B149" s="5" t="s">
        <v>94</v>
      </c>
      <c r="C149" s="5" t="s">
        <v>174</v>
      </c>
      <c r="D149" s="6">
        <v>0.7214</v>
      </c>
      <c r="E149" s="6">
        <v>0</v>
      </c>
      <c r="F149" s="6">
        <v>0</v>
      </c>
      <c r="G149" s="6">
        <v>1241.6</v>
      </c>
      <c r="H149" s="6">
        <v>0</v>
      </c>
      <c r="I149" s="6">
        <v>232.3635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9">
        <f t="shared" si="5"/>
        <v>1474.6849</v>
      </c>
    </row>
    <row r="150" spans="1:18">
      <c r="A150" s="5" t="s">
        <v>24</v>
      </c>
      <c r="B150" s="5" t="s">
        <v>94</v>
      </c>
      <c r="C150" s="5" t="s">
        <v>175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1139.286</v>
      </c>
      <c r="J150" s="6">
        <v>19079.6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9">
        <f t="shared" si="5"/>
        <v>20218.886</v>
      </c>
    </row>
    <row r="151" spans="1:18">
      <c r="A151" s="5" t="s">
        <v>24</v>
      </c>
      <c r="B151" s="5" t="s">
        <v>94</v>
      </c>
      <c r="C151" s="5" t="s">
        <v>176</v>
      </c>
      <c r="D151" s="6">
        <v>0</v>
      </c>
      <c r="E151" s="6">
        <v>117.0288</v>
      </c>
      <c r="F151" s="6">
        <v>0</v>
      </c>
      <c r="G151" s="6">
        <v>0</v>
      </c>
      <c r="H151" s="6">
        <v>0</v>
      </c>
      <c r="I151" s="6">
        <v>184.4925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9">
        <f t="shared" si="5"/>
        <v>301.5213</v>
      </c>
    </row>
    <row r="152" spans="1:18">
      <c r="A152" s="5" t="s">
        <v>24</v>
      </c>
      <c r="B152" s="5" t="s">
        <v>94</v>
      </c>
      <c r="C152" s="5" t="s">
        <v>177</v>
      </c>
      <c r="D152" s="6">
        <v>0.971</v>
      </c>
      <c r="E152" s="6">
        <v>4.86</v>
      </c>
      <c r="F152" s="6">
        <v>0</v>
      </c>
      <c r="G152" s="6">
        <v>0</v>
      </c>
      <c r="H152" s="6">
        <v>0</v>
      </c>
      <c r="I152" s="6">
        <v>522.762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9">
        <f t="shared" si="5"/>
        <v>528.593</v>
      </c>
    </row>
    <row r="153" spans="1:18">
      <c r="A153" s="5" t="s">
        <v>24</v>
      </c>
      <c r="B153" s="5" t="s">
        <v>94</v>
      </c>
      <c r="C153" s="5" t="s">
        <v>178</v>
      </c>
      <c r="D153" s="6">
        <v>1.3626</v>
      </c>
      <c r="E153" s="6">
        <v>0</v>
      </c>
      <c r="F153" s="6">
        <v>0</v>
      </c>
      <c r="G153" s="6">
        <v>0</v>
      </c>
      <c r="H153" s="6">
        <v>0</v>
      </c>
      <c r="I153" s="6">
        <v>173.55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9">
        <f t="shared" si="5"/>
        <v>174.9126</v>
      </c>
    </row>
    <row r="154" spans="1:18">
      <c r="A154" s="5" t="s">
        <v>24</v>
      </c>
      <c r="B154" s="5" t="s">
        <v>94</v>
      </c>
      <c r="C154" s="5" t="s">
        <v>179</v>
      </c>
      <c r="D154" s="6">
        <v>2.1494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9">
        <f t="shared" si="5"/>
        <v>2.1494</v>
      </c>
    </row>
    <row r="155" spans="1:18">
      <c r="A155" s="5" t="s">
        <v>24</v>
      </c>
      <c r="B155" s="5" t="s">
        <v>180</v>
      </c>
      <c r="C155" s="5" t="s">
        <v>181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198094.3845</v>
      </c>
      <c r="J155" s="6">
        <v>72370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9">
        <f t="shared" si="5"/>
        <v>270464.3845</v>
      </c>
    </row>
    <row r="156" spans="1:18">
      <c r="A156" s="5" t="s">
        <v>24</v>
      </c>
      <c r="B156" s="5" t="s">
        <v>180</v>
      </c>
      <c r="C156" s="5" t="s">
        <v>182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102293.0535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9">
        <f t="shared" si="5"/>
        <v>102293.0535</v>
      </c>
    </row>
    <row r="157" spans="1:18">
      <c r="A157" s="5" t="s">
        <v>24</v>
      </c>
      <c r="B157" s="5" t="s">
        <v>180</v>
      </c>
      <c r="C157" s="5" t="s">
        <v>183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508.83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9">
        <f t="shared" si="5"/>
        <v>508.83</v>
      </c>
    </row>
    <row r="158" spans="1:18">
      <c r="A158" s="5" t="s">
        <v>24</v>
      </c>
      <c r="B158" s="5" t="s">
        <v>180</v>
      </c>
      <c r="C158" s="5" t="s">
        <v>184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0.3015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9">
        <f t="shared" si="5"/>
        <v>0.3015</v>
      </c>
    </row>
    <row r="159" spans="1:18">
      <c r="A159" s="5" t="s">
        <v>24</v>
      </c>
      <c r="B159" s="5" t="s">
        <v>180</v>
      </c>
      <c r="C159" s="5" t="s">
        <v>185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131331.831</v>
      </c>
      <c r="J159" s="6">
        <v>55403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9">
        <f t="shared" si="5"/>
        <v>186734.831</v>
      </c>
    </row>
    <row r="160" spans="1:18">
      <c r="A160" s="5" t="s">
        <v>24</v>
      </c>
      <c r="B160" s="5" t="s">
        <v>180</v>
      </c>
      <c r="C160" s="5" t="s">
        <v>186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483983.1315</v>
      </c>
      <c r="J160" s="6">
        <v>68406.88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9">
        <f t="shared" si="5"/>
        <v>552390.0115</v>
      </c>
    </row>
    <row r="161" spans="1:18">
      <c r="A161" s="5" t="s">
        <v>24</v>
      </c>
      <c r="B161" s="5" t="s">
        <v>180</v>
      </c>
      <c r="C161" s="5" t="s">
        <v>187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287917.8135</v>
      </c>
      <c r="J161" s="6">
        <v>87438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9">
        <f t="shared" si="5"/>
        <v>375355.8135</v>
      </c>
    </row>
    <row r="162" spans="1:18">
      <c r="A162" s="5" t="s">
        <v>24</v>
      </c>
      <c r="B162" s="5" t="s">
        <v>180</v>
      </c>
      <c r="C162" s="5" t="s">
        <v>188</v>
      </c>
      <c r="D162" s="6">
        <v>0</v>
      </c>
      <c r="E162" s="6">
        <v>0.864</v>
      </c>
      <c r="F162" s="6">
        <v>0</v>
      </c>
      <c r="G162" s="6">
        <v>0</v>
      </c>
      <c r="H162" s="6">
        <v>0</v>
      </c>
      <c r="I162" s="6">
        <v>79754.535</v>
      </c>
      <c r="J162" s="6">
        <v>93787.5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9">
        <f t="shared" si="5"/>
        <v>173542.899</v>
      </c>
    </row>
    <row r="163" spans="1:18">
      <c r="A163" s="5" t="s">
        <v>24</v>
      </c>
      <c r="B163" s="5" t="s">
        <v>180</v>
      </c>
      <c r="C163" s="5" t="s">
        <v>189</v>
      </c>
      <c r="D163" s="6">
        <v>0</v>
      </c>
      <c r="E163" s="6">
        <v>4445.496</v>
      </c>
      <c r="F163" s="6">
        <v>0</v>
      </c>
      <c r="G163" s="6">
        <v>0</v>
      </c>
      <c r="H163" s="6">
        <v>0</v>
      </c>
      <c r="I163" s="6">
        <v>12.7785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9">
        <f t="shared" si="5"/>
        <v>4458.2745</v>
      </c>
    </row>
    <row r="164" spans="1:18">
      <c r="A164" s="5" t="s">
        <v>24</v>
      </c>
      <c r="B164" s="5" t="s">
        <v>180</v>
      </c>
      <c r="C164" s="5" t="s">
        <v>190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882859.548</v>
      </c>
      <c r="J164" s="6">
        <v>232483.8112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9">
        <f t="shared" si="5"/>
        <v>1115343.3592</v>
      </c>
    </row>
    <row r="165" spans="1:18">
      <c r="A165" s="5" t="s">
        <v>24</v>
      </c>
      <c r="B165" s="5" t="s">
        <v>180</v>
      </c>
      <c r="C165" s="5" t="s">
        <v>191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73827.6885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9">
        <f t="shared" si="5"/>
        <v>73827.6885</v>
      </c>
    </row>
    <row r="166" spans="1:18">
      <c r="A166" s="5" t="s">
        <v>24</v>
      </c>
      <c r="B166" s="5" t="s">
        <v>180</v>
      </c>
      <c r="C166" s="5" t="s">
        <v>192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126033.0675</v>
      </c>
      <c r="J166" s="6">
        <v>79961.58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9">
        <f t="shared" ref="R166:R197" si="6">SUM(D166:Q166)</f>
        <v>205994.6475</v>
      </c>
    </row>
    <row r="167" spans="1:18">
      <c r="A167" s="5" t="s">
        <v>24</v>
      </c>
      <c r="B167" s="5" t="s">
        <v>180</v>
      </c>
      <c r="C167" s="5" t="s">
        <v>193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194570.43</v>
      </c>
      <c r="J167" s="6">
        <v>121179.1562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9">
        <f t="shared" si="6"/>
        <v>315749.5862</v>
      </c>
    </row>
    <row r="168" spans="1:18">
      <c r="A168" s="5" t="s">
        <v>24</v>
      </c>
      <c r="B168" s="5" t="s">
        <v>180</v>
      </c>
      <c r="C168" s="5" t="s">
        <v>194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154102.8675</v>
      </c>
      <c r="J168" s="6">
        <v>91219.76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9">
        <f t="shared" si="6"/>
        <v>245322.6275</v>
      </c>
    </row>
    <row r="169" spans="1:18">
      <c r="A169" s="5" t="s">
        <v>24</v>
      </c>
      <c r="B169" s="5" t="s">
        <v>180</v>
      </c>
      <c r="C169" s="5" t="s">
        <v>195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1036.0395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9">
        <f t="shared" si="6"/>
        <v>1036.0395</v>
      </c>
    </row>
    <row r="170" spans="1:18">
      <c r="A170" s="5" t="s">
        <v>24</v>
      </c>
      <c r="B170" s="5" t="s">
        <v>180</v>
      </c>
      <c r="C170" s="5" t="s">
        <v>196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107845.485</v>
      </c>
      <c r="J170" s="6">
        <v>234758.59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9">
        <f t="shared" si="6"/>
        <v>342604.075</v>
      </c>
    </row>
    <row r="171" spans="1:18">
      <c r="A171" s="5" t="s">
        <v>24</v>
      </c>
      <c r="B171" s="5" t="s">
        <v>180</v>
      </c>
      <c r="C171" s="5" t="s">
        <v>197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155358.7965</v>
      </c>
      <c r="J171" s="6">
        <v>101671.56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9">
        <f t="shared" si="6"/>
        <v>257030.3565</v>
      </c>
    </row>
    <row r="172" spans="1:18">
      <c r="A172" s="5" t="s">
        <v>24</v>
      </c>
      <c r="B172" s="5" t="s">
        <v>180</v>
      </c>
      <c r="C172" s="5" t="s">
        <v>198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300634.1655</v>
      </c>
      <c r="J172" s="6">
        <v>132544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9">
        <f t="shared" si="6"/>
        <v>433178.1655</v>
      </c>
    </row>
    <row r="173" spans="1:18">
      <c r="A173" s="5" t="s">
        <v>24</v>
      </c>
      <c r="B173" s="5" t="s">
        <v>180</v>
      </c>
      <c r="C173" s="5" t="s">
        <v>199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64581.0375</v>
      </c>
      <c r="J173" s="6">
        <v>62548.7737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9">
        <f t="shared" si="6"/>
        <v>127129.8112</v>
      </c>
    </row>
    <row r="174" spans="1:18">
      <c r="A174" s="5" t="s">
        <v>24</v>
      </c>
      <c r="B174" s="5" t="s">
        <v>200</v>
      </c>
      <c r="C174" s="5" t="s">
        <v>201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1151.9025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80000</v>
      </c>
      <c r="R174" s="9">
        <f t="shared" si="6"/>
        <v>81151.9025</v>
      </c>
    </row>
    <row r="175" spans="1:18">
      <c r="A175" s="5" t="s">
        <v>24</v>
      </c>
      <c r="B175" s="5" t="s">
        <v>202</v>
      </c>
      <c r="C175" s="5" t="s">
        <v>203</v>
      </c>
      <c r="D175" s="6">
        <v>0</v>
      </c>
      <c r="E175" s="6">
        <v>616996.1131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9">
        <f t="shared" si="6"/>
        <v>616996.1131</v>
      </c>
    </row>
    <row r="176" spans="1:18">
      <c r="A176" s="5" t="s">
        <v>24</v>
      </c>
      <c r="B176" s="5" t="s">
        <v>202</v>
      </c>
      <c r="C176" s="5" t="s">
        <v>204</v>
      </c>
      <c r="D176" s="6">
        <v>0</v>
      </c>
      <c r="E176" s="6">
        <v>2123298.3714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9">
        <f t="shared" si="6"/>
        <v>2123298.3714</v>
      </c>
    </row>
    <row r="177" spans="1:18">
      <c r="A177" s="5" t="s">
        <v>24</v>
      </c>
      <c r="B177" s="5" t="s">
        <v>205</v>
      </c>
      <c r="C177" s="5" t="s">
        <v>206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173.778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9">
        <f t="shared" si="6"/>
        <v>173.778</v>
      </c>
    </row>
    <row r="178" spans="1:18">
      <c r="A178" s="5" t="s">
        <v>24</v>
      </c>
      <c r="B178" s="5" t="s">
        <v>205</v>
      </c>
      <c r="C178" s="5" t="s">
        <v>207</v>
      </c>
      <c r="D178" s="6">
        <v>1.3492</v>
      </c>
      <c r="E178" s="6">
        <v>3364.416</v>
      </c>
      <c r="F178" s="6">
        <v>0</v>
      </c>
      <c r="G178" s="6">
        <v>0</v>
      </c>
      <c r="H178" s="6">
        <v>0</v>
      </c>
      <c r="I178" s="6">
        <v>5.5335</v>
      </c>
      <c r="J178" s="6">
        <v>0</v>
      </c>
      <c r="K178" s="6">
        <v>0</v>
      </c>
      <c r="L178" s="6">
        <v>0</v>
      </c>
      <c r="M178" s="6">
        <v>6307.496</v>
      </c>
      <c r="N178" s="6">
        <v>0</v>
      </c>
      <c r="O178" s="6">
        <v>0</v>
      </c>
      <c r="P178" s="6">
        <v>0</v>
      </c>
      <c r="Q178" s="6">
        <v>0</v>
      </c>
      <c r="R178" s="9">
        <f t="shared" si="6"/>
        <v>9678.7947</v>
      </c>
    </row>
    <row r="179" spans="1:18">
      <c r="A179" s="5" t="s">
        <v>24</v>
      </c>
      <c r="B179" s="5" t="s">
        <v>205</v>
      </c>
      <c r="C179" s="5" t="s">
        <v>208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9">
        <f t="shared" si="6"/>
        <v>0</v>
      </c>
    </row>
    <row r="180" spans="1:18">
      <c r="A180" s="5" t="s">
        <v>24</v>
      </c>
      <c r="B180" s="5" t="s">
        <v>205</v>
      </c>
      <c r="C180" s="5" t="s">
        <v>209</v>
      </c>
      <c r="D180" s="6">
        <v>0.9394</v>
      </c>
      <c r="E180" s="6">
        <v>25136.2085</v>
      </c>
      <c r="F180" s="6">
        <v>0</v>
      </c>
      <c r="G180" s="6">
        <v>905.6</v>
      </c>
      <c r="H180" s="6">
        <v>0</v>
      </c>
      <c r="I180" s="6">
        <v>1.9665</v>
      </c>
      <c r="J180" s="6">
        <v>0</v>
      </c>
      <c r="K180" s="6">
        <v>0</v>
      </c>
      <c r="L180" s="6">
        <v>0</v>
      </c>
      <c r="M180" s="6">
        <v>2163.3105</v>
      </c>
      <c r="N180" s="6">
        <v>0</v>
      </c>
      <c r="O180" s="6">
        <v>0</v>
      </c>
      <c r="P180" s="6">
        <v>0</v>
      </c>
      <c r="Q180" s="6">
        <v>0</v>
      </c>
      <c r="R180" s="9">
        <f t="shared" si="6"/>
        <v>28208.0249</v>
      </c>
    </row>
    <row r="181" spans="1:18">
      <c r="A181" s="5" t="s">
        <v>24</v>
      </c>
      <c r="B181" s="5" t="s">
        <v>205</v>
      </c>
      <c r="C181" s="5" t="s">
        <v>210</v>
      </c>
      <c r="D181" s="6">
        <v>0.6998</v>
      </c>
      <c r="E181" s="6">
        <v>144779.3412</v>
      </c>
      <c r="F181" s="6">
        <v>0</v>
      </c>
      <c r="G181" s="6">
        <v>0</v>
      </c>
      <c r="H181" s="6">
        <v>0</v>
      </c>
      <c r="I181" s="6">
        <v>226.698</v>
      </c>
      <c r="J181" s="6">
        <v>0</v>
      </c>
      <c r="K181" s="6">
        <v>0</v>
      </c>
      <c r="L181" s="6">
        <v>0</v>
      </c>
      <c r="M181" s="6">
        <v>12539.904</v>
      </c>
      <c r="N181" s="6">
        <v>0</v>
      </c>
      <c r="O181" s="6">
        <v>0</v>
      </c>
      <c r="P181" s="6">
        <v>0</v>
      </c>
      <c r="Q181" s="6">
        <v>0</v>
      </c>
      <c r="R181" s="9">
        <f t="shared" si="6"/>
        <v>157546.643</v>
      </c>
    </row>
    <row r="182" spans="1:18">
      <c r="A182" s="5" t="s">
        <v>24</v>
      </c>
      <c r="B182" s="5" t="s">
        <v>205</v>
      </c>
      <c r="C182" s="5" t="s">
        <v>211</v>
      </c>
      <c r="D182" s="6">
        <v>0</v>
      </c>
      <c r="E182" s="6">
        <v>3323.52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12600.9</v>
      </c>
      <c r="N182" s="6">
        <v>0</v>
      </c>
      <c r="O182" s="6">
        <v>0</v>
      </c>
      <c r="P182" s="6">
        <v>0</v>
      </c>
      <c r="Q182" s="6">
        <v>0</v>
      </c>
      <c r="R182" s="9">
        <f t="shared" si="6"/>
        <v>15924.42</v>
      </c>
    </row>
    <row r="183" spans="1:18">
      <c r="A183" s="5" t="s">
        <v>24</v>
      </c>
      <c r="B183" s="5" t="s">
        <v>205</v>
      </c>
      <c r="C183" s="5" t="s">
        <v>212</v>
      </c>
      <c r="D183" s="6">
        <v>0</v>
      </c>
      <c r="E183" s="6">
        <v>4143.6</v>
      </c>
      <c r="F183" s="6">
        <v>0</v>
      </c>
      <c r="G183" s="6">
        <v>0</v>
      </c>
      <c r="H183" s="6">
        <v>0</v>
      </c>
      <c r="I183" s="6">
        <v>14.1195</v>
      </c>
      <c r="J183" s="6">
        <v>0</v>
      </c>
      <c r="K183" s="6">
        <v>0</v>
      </c>
      <c r="L183" s="6">
        <v>0</v>
      </c>
      <c r="M183" s="6">
        <v>3071.9065</v>
      </c>
      <c r="N183" s="6">
        <v>0</v>
      </c>
      <c r="O183" s="6">
        <v>0</v>
      </c>
      <c r="P183" s="6">
        <v>0</v>
      </c>
      <c r="Q183" s="6">
        <v>0</v>
      </c>
      <c r="R183" s="9">
        <f t="shared" si="6"/>
        <v>7229.626</v>
      </c>
    </row>
    <row r="184" spans="1:18">
      <c r="A184" s="5" t="s">
        <v>24</v>
      </c>
      <c r="B184" s="5" t="s">
        <v>205</v>
      </c>
      <c r="C184" s="5" t="s">
        <v>213</v>
      </c>
      <c r="D184" s="6">
        <v>0.3517</v>
      </c>
      <c r="E184" s="6">
        <v>34720.3434</v>
      </c>
      <c r="F184" s="6">
        <v>0</v>
      </c>
      <c r="G184" s="6">
        <v>0</v>
      </c>
      <c r="H184" s="6">
        <v>0</v>
      </c>
      <c r="I184" s="6">
        <v>7.389</v>
      </c>
      <c r="J184" s="6">
        <v>0</v>
      </c>
      <c r="K184" s="6">
        <v>0</v>
      </c>
      <c r="L184" s="6">
        <v>0</v>
      </c>
      <c r="M184" s="6">
        <v>5258.227</v>
      </c>
      <c r="N184" s="6">
        <v>0</v>
      </c>
      <c r="O184" s="6">
        <v>0</v>
      </c>
      <c r="P184" s="6">
        <v>0</v>
      </c>
      <c r="Q184" s="6">
        <v>0</v>
      </c>
      <c r="R184" s="9">
        <f t="shared" si="6"/>
        <v>39986.3111</v>
      </c>
    </row>
    <row r="185" spans="1:18">
      <c r="A185" s="5" t="s">
        <v>24</v>
      </c>
      <c r="B185" s="5" t="s">
        <v>205</v>
      </c>
      <c r="C185" s="5" t="s">
        <v>214</v>
      </c>
      <c r="D185" s="6">
        <v>4.6682</v>
      </c>
      <c r="E185" s="6">
        <v>1734.75</v>
      </c>
      <c r="F185" s="6">
        <v>0</v>
      </c>
      <c r="G185" s="6">
        <v>1636.8</v>
      </c>
      <c r="H185" s="6">
        <v>0</v>
      </c>
      <c r="I185" s="6">
        <v>4.9905</v>
      </c>
      <c r="J185" s="6">
        <v>0</v>
      </c>
      <c r="K185" s="6">
        <v>0</v>
      </c>
      <c r="L185" s="6">
        <v>0</v>
      </c>
      <c r="M185" s="6">
        <v>6181.76</v>
      </c>
      <c r="N185" s="6">
        <v>0</v>
      </c>
      <c r="O185" s="6">
        <v>0</v>
      </c>
      <c r="P185" s="6">
        <v>0</v>
      </c>
      <c r="Q185" s="6">
        <v>0</v>
      </c>
      <c r="R185" s="9">
        <f t="shared" si="6"/>
        <v>9562.9687</v>
      </c>
    </row>
    <row r="186" spans="1:18">
      <c r="A186" s="5" t="s">
        <v>24</v>
      </c>
      <c r="B186" s="5" t="s">
        <v>205</v>
      </c>
      <c r="C186" s="5" t="s">
        <v>215</v>
      </c>
      <c r="D186" s="6">
        <v>0</v>
      </c>
      <c r="E186" s="6">
        <v>23176.4039</v>
      </c>
      <c r="F186" s="6">
        <v>0</v>
      </c>
      <c r="G186" s="6">
        <v>0</v>
      </c>
      <c r="H186" s="6">
        <v>0</v>
      </c>
      <c r="I186" s="6">
        <v>35.2725</v>
      </c>
      <c r="J186" s="6">
        <v>0</v>
      </c>
      <c r="K186" s="6">
        <v>0</v>
      </c>
      <c r="L186" s="6">
        <v>0</v>
      </c>
      <c r="M186" s="6">
        <v>9426.742</v>
      </c>
      <c r="N186" s="6">
        <v>0</v>
      </c>
      <c r="O186" s="6">
        <v>0</v>
      </c>
      <c r="P186" s="6">
        <v>0</v>
      </c>
      <c r="Q186" s="6">
        <v>0</v>
      </c>
      <c r="R186" s="9">
        <f t="shared" si="6"/>
        <v>32638.4184</v>
      </c>
    </row>
    <row r="187" spans="1:18">
      <c r="A187" s="5" t="s">
        <v>24</v>
      </c>
      <c r="B187" s="5" t="s">
        <v>205</v>
      </c>
      <c r="C187" s="5" t="s">
        <v>216</v>
      </c>
      <c r="D187" s="6">
        <v>0</v>
      </c>
      <c r="E187" s="6">
        <v>3489.0091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5007.535</v>
      </c>
      <c r="N187" s="6">
        <v>0</v>
      </c>
      <c r="O187" s="6">
        <v>0</v>
      </c>
      <c r="P187" s="6">
        <v>0</v>
      </c>
      <c r="Q187" s="6">
        <v>0</v>
      </c>
      <c r="R187" s="9">
        <f t="shared" si="6"/>
        <v>8496.5441</v>
      </c>
    </row>
    <row r="188" spans="1:18">
      <c r="A188" s="5" t="s">
        <v>24</v>
      </c>
      <c r="B188" s="5" t="s">
        <v>205</v>
      </c>
      <c r="C188" s="5" t="s">
        <v>217</v>
      </c>
      <c r="D188" s="6">
        <v>2.2574</v>
      </c>
      <c r="E188" s="6">
        <v>3867.7709</v>
      </c>
      <c r="F188" s="6">
        <v>0</v>
      </c>
      <c r="G188" s="6">
        <v>1206.4</v>
      </c>
      <c r="H188" s="6">
        <v>0</v>
      </c>
      <c r="I188" s="6">
        <v>0.111</v>
      </c>
      <c r="J188" s="6">
        <v>0</v>
      </c>
      <c r="K188" s="6">
        <v>0</v>
      </c>
      <c r="L188" s="6">
        <v>0</v>
      </c>
      <c r="M188" s="6">
        <v>1734.9995</v>
      </c>
      <c r="N188" s="6">
        <v>0</v>
      </c>
      <c r="O188" s="6">
        <v>0</v>
      </c>
      <c r="P188" s="6">
        <v>0</v>
      </c>
      <c r="Q188" s="6">
        <v>0</v>
      </c>
      <c r="R188" s="9">
        <f t="shared" si="6"/>
        <v>6811.5388</v>
      </c>
    </row>
    <row r="189" spans="1:18">
      <c r="A189" s="5" t="s">
        <v>24</v>
      </c>
      <c r="B189" s="5" t="s">
        <v>205</v>
      </c>
      <c r="C189" s="5" t="s">
        <v>218</v>
      </c>
      <c r="D189" s="6">
        <v>0.8362</v>
      </c>
      <c r="E189" s="6">
        <v>133440.6869</v>
      </c>
      <c r="F189" s="6">
        <v>0</v>
      </c>
      <c r="G189" s="6">
        <v>0</v>
      </c>
      <c r="H189" s="6">
        <v>0</v>
      </c>
      <c r="I189" s="6">
        <v>85.6635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9">
        <f t="shared" si="6"/>
        <v>133527.1866</v>
      </c>
    </row>
    <row r="190" spans="1:18">
      <c r="A190" s="5" t="s">
        <v>24</v>
      </c>
      <c r="B190" s="5" t="s">
        <v>205</v>
      </c>
      <c r="C190" s="5" t="s">
        <v>219</v>
      </c>
      <c r="D190" s="6">
        <v>7.6112</v>
      </c>
      <c r="E190" s="6">
        <v>46037.859</v>
      </c>
      <c r="F190" s="6">
        <v>0</v>
      </c>
      <c r="G190" s="6">
        <v>4404</v>
      </c>
      <c r="H190" s="6">
        <v>0</v>
      </c>
      <c r="I190" s="6">
        <v>51.1605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9">
        <f t="shared" si="6"/>
        <v>50500.6307</v>
      </c>
    </row>
    <row r="191" spans="1:18">
      <c r="A191" s="5" t="s">
        <v>24</v>
      </c>
      <c r="B191" s="5" t="s">
        <v>205</v>
      </c>
      <c r="C191" s="5" t="s">
        <v>220</v>
      </c>
      <c r="D191" s="6">
        <v>2.5826</v>
      </c>
      <c r="E191" s="6">
        <v>64584.6667</v>
      </c>
      <c r="F191" s="6">
        <v>0</v>
      </c>
      <c r="G191" s="6">
        <v>1556</v>
      </c>
      <c r="H191" s="6">
        <v>0</v>
      </c>
      <c r="I191" s="6">
        <v>177.1755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9">
        <f t="shared" si="6"/>
        <v>66320.4248</v>
      </c>
    </row>
    <row r="192" spans="1:18">
      <c r="A192" s="5" t="s">
        <v>24</v>
      </c>
      <c r="B192" s="5" t="s">
        <v>205</v>
      </c>
      <c r="C192" s="5" t="s">
        <v>221</v>
      </c>
      <c r="D192" s="6">
        <v>3.6715</v>
      </c>
      <c r="E192" s="6">
        <v>106307.2472</v>
      </c>
      <c r="F192" s="6">
        <v>0</v>
      </c>
      <c r="G192" s="6">
        <v>610.8</v>
      </c>
      <c r="H192" s="6">
        <v>0</v>
      </c>
      <c r="I192" s="6">
        <v>1.134</v>
      </c>
      <c r="J192" s="6">
        <v>0</v>
      </c>
      <c r="K192" s="6">
        <v>0</v>
      </c>
      <c r="L192" s="6">
        <v>0</v>
      </c>
      <c r="M192" s="6">
        <v>10197.07</v>
      </c>
      <c r="N192" s="6">
        <v>0</v>
      </c>
      <c r="O192" s="6">
        <v>0</v>
      </c>
      <c r="P192" s="6">
        <v>0</v>
      </c>
      <c r="Q192" s="6">
        <v>0</v>
      </c>
      <c r="R192" s="9">
        <f t="shared" si="6"/>
        <v>117119.9227</v>
      </c>
    </row>
    <row r="193" spans="1:18">
      <c r="A193" s="5" t="s">
        <v>24</v>
      </c>
      <c r="B193" s="5" t="s">
        <v>205</v>
      </c>
      <c r="C193" s="5" t="s">
        <v>222</v>
      </c>
      <c r="D193" s="6">
        <v>6.0692</v>
      </c>
      <c r="E193" s="6">
        <v>3857.4</v>
      </c>
      <c r="F193" s="6">
        <v>0</v>
      </c>
      <c r="G193" s="6">
        <v>1582.4</v>
      </c>
      <c r="H193" s="6">
        <v>0</v>
      </c>
      <c r="I193" s="6">
        <v>1.512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9">
        <f t="shared" si="6"/>
        <v>5447.3812</v>
      </c>
    </row>
    <row r="194" spans="1:18">
      <c r="A194" s="5" t="s">
        <v>24</v>
      </c>
      <c r="B194" s="5" t="s">
        <v>205</v>
      </c>
      <c r="C194" s="5" t="s">
        <v>223</v>
      </c>
      <c r="D194" s="6">
        <v>2.7176</v>
      </c>
      <c r="E194" s="6">
        <v>4210.2</v>
      </c>
      <c r="F194" s="6">
        <v>0</v>
      </c>
      <c r="G194" s="6">
        <v>726.4</v>
      </c>
      <c r="H194" s="6">
        <v>0</v>
      </c>
      <c r="I194" s="6">
        <v>63.168</v>
      </c>
      <c r="J194" s="6">
        <v>0</v>
      </c>
      <c r="K194" s="6">
        <v>0</v>
      </c>
      <c r="L194" s="6">
        <v>0</v>
      </c>
      <c r="M194" s="6">
        <v>6552.78</v>
      </c>
      <c r="N194" s="6">
        <v>0</v>
      </c>
      <c r="O194" s="6">
        <v>0</v>
      </c>
      <c r="P194" s="6">
        <v>0</v>
      </c>
      <c r="Q194" s="6">
        <v>0</v>
      </c>
      <c r="R194" s="9">
        <f t="shared" si="6"/>
        <v>11555.2656</v>
      </c>
    </row>
    <row r="195" spans="1:18">
      <c r="A195" s="5" t="s">
        <v>24</v>
      </c>
      <c r="B195" s="5" t="s">
        <v>205</v>
      </c>
      <c r="C195" s="5" t="s">
        <v>224</v>
      </c>
      <c r="D195" s="6">
        <v>3.7673</v>
      </c>
      <c r="E195" s="6">
        <v>1533.6</v>
      </c>
      <c r="F195" s="6">
        <v>0</v>
      </c>
      <c r="G195" s="6">
        <v>0</v>
      </c>
      <c r="H195" s="6">
        <v>0</v>
      </c>
      <c r="I195" s="6">
        <v>58.788</v>
      </c>
      <c r="J195" s="6">
        <v>0</v>
      </c>
      <c r="K195" s="6">
        <v>0</v>
      </c>
      <c r="L195" s="6">
        <v>0</v>
      </c>
      <c r="M195" s="6">
        <v>25140.622</v>
      </c>
      <c r="N195" s="6">
        <v>0</v>
      </c>
      <c r="O195" s="6">
        <v>0</v>
      </c>
      <c r="P195" s="6">
        <v>0</v>
      </c>
      <c r="Q195" s="6">
        <v>0</v>
      </c>
      <c r="R195" s="9">
        <f t="shared" si="6"/>
        <v>26736.7773</v>
      </c>
    </row>
    <row r="196" spans="1:18">
      <c r="A196" s="5" t="s">
        <v>24</v>
      </c>
      <c r="B196" s="5" t="s">
        <v>205</v>
      </c>
      <c r="C196" s="5" t="s">
        <v>225</v>
      </c>
      <c r="D196" s="6">
        <v>1.3642</v>
      </c>
      <c r="E196" s="6">
        <v>20068.9853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3181.1</v>
      </c>
      <c r="N196" s="6">
        <v>0</v>
      </c>
      <c r="O196" s="6">
        <v>0</v>
      </c>
      <c r="P196" s="6">
        <v>0</v>
      </c>
      <c r="Q196" s="6">
        <v>0</v>
      </c>
      <c r="R196" s="9">
        <f t="shared" si="6"/>
        <v>23251.4495</v>
      </c>
    </row>
    <row r="197" spans="1:18">
      <c r="A197" s="5" t="s">
        <v>24</v>
      </c>
      <c r="B197" s="5" t="s">
        <v>205</v>
      </c>
      <c r="C197" s="5" t="s">
        <v>226</v>
      </c>
      <c r="D197" s="6">
        <v>0</v>
      </c>
      <c r="E197" s="6">
        <v>30382.7256</v>
      </c>
      <c r="F197" s="6">
        <v>0</v>
      </c>
      <c r="G197" s="6">
        <v>0</v>
      </c>
      <c r="H197" s="6">
        <v>0</v>
      </c>
      <c r="I197" s="6">
        <v>47.2455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9">
        <f t="shared" si="6"/>
        <v>30429.9711</v>
      </c>
    </row>
    <row r="198" spans="1:18">
      <c r="A198" s="5" t="s">
        <v>24</v>
      </c>
      <c r="B198" s="5" t="s">
        <v>205</v>
      </c>
      <c r="C198" s="5" t="s">
        <v>227</v>
      </c>
      <c r="D198" s="6">
        <v>7.0373</v>
      </c>
      <c r="E198" s="6">
        <v>216936.6215</v>
      </c>
      <c r="F198" s="6">
        <v>0</v>
      </c>
      <c r="G198" s="6">
        <v>1390</v>
      </c>
      <c r="H198" s="6">
        <v>0</v>
      </c>
      <c r="I198" s="6">
        <v>32.244</v>
      </c>
      <c r="J198" s="6">
        <v>0</v>
      </c>
      <c r="K198" s="6">
        <v>0</v>
      </c>
      <c r="L198" s="6">
        <v>0</v>
      </c>
      <c r="M198" s="6">
        <v>9561.9225</v>
      </c>
      <c r="N198" s="6">
        <v>0</v>
      </c>
      <c r="O198" s="6">
        <v>0</v>
      </c>
      <c r="P198" s="6">
        <v>0</v>
      </c>
      <c r="Q198" s="6">
        <v>0</v>
      </c>
      <c r="R198" s="9">
        <f>SUM(D198:Q198)</f>
        <v>227927.8253</v>
      </c>
    </row>
    <row r="199" spans="1:18">
      <c r="A199" s="5" t="s">
        <v>24</v>
      </c>
      <c r="B199" s="5" t="s">
        <v>205</v>
      </c>
      <c r="C199" s="5" t="s">
        <v>228</v>
      </c>
      <c r="D199" s="6">
        <v>0.4928</v>
      </c>
      <c r="E199" s="6">
        <v>0</v>
      </c>
      <c r="F199" s="6">
        <v>0</v>
      </c>
      <c r="G199" s="6">
        <v>0</v>
      </c>
      <c r="H199" s="6">
        <v>0</v>
      </c>
      <c r="I199" s="6">
        <v>8337.768</v>
      </c>
      <c r="J199" s="6">
        <v>3511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9">
        <f>SUM(D199:Q199)</f>
        <v>11849.2608</v>
      </c>
    </row>
    <row r="200" spans="1:18">
      <c r="A200" s="5" t="s">
        <v>24</v>
      </c>
      <c r="B200" s="5" t="s">
        <v>205</v>
      </c>
      <c r="C200" s="5" t="s">
        <v>229</v>
      </c>
      <c r="D200" s="6">
        <v>2.003</v>
      </c>
      <c r="E200" s="6">
        <v>3014.361</v>
      </c>
      <c r="F200" s="6">
        <v>0</v>
      </c>
      <c r="G200" s="6">
        <v>1064</v>
      </c>
      <c r="H200" s="6">
        <v>0</v>
      </c>
      <c r="I200" s="6">
        <v>2.4765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9">
        <f>SUM(D200:Q200)</f>
        <v>4082.8405</v>
      </c>
    </row>
    <row r="201" spans="1:18">
      <c r="A201" s="5" t="s">
        <v>24</v>
      </c>
      <c r="B201" s="5" t="s">
        <v>205</v>
      </c>
      <c r="C201" s="5" t="s">
        <v>230</v>
      </c>
      <c r="D201" s="6">
        <v>23.914</v>
      </c>
      <c r="E201" s="6">
        <v>374219.6938</v>
      </c>
      <c r="F201" s="6">
        <v>0</v>
      </c>
      <c r="G201" s="6">
        <v>14602.4</v>
      </c>
      <c r="H201" s="6">
        <v>0</v>
      </c>
      <c r="I201" s="6">
        <v>1232.793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9">
        <f>SUM(D201:Q201)</f>
        <v>390078.8008</v>
      </c>
    </row>
    <row r="202" spans="1:18">
      <c r="A202" s="5" t="s">
        <v>24</v>
      </c>
      <c r="B202" s="5" t="s">
        <v>205</v>
      </c>
      <c r="C202" s="5" t="s">
        <v>231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9">
        <f>SUM(D202:Q202)</f>
        <v>0</v>
      </c>
    </row>
    <row r="203" spans="1:18">
      <c r="A203" s="5" t="s">
        <v>24</v>
      </c>
      <c r="B203" s="5" t="s">
        <v>205</v>
      </c>
      <c r="C203" s="5" t="s">
        <v>232</v>
      </c>
      <c r="D203" s="6">
        <v>3.4133</v>
      </c>
      <c r="E203" s="6">
        <v>2427.228</v>
      </c>
      <c r="F203" s="6">
        <v>0</v>
      </c>
      <c r="G203" s="6">
        <v>1185.6</v>
      </c>
      <c r="H203" s="6">
        <v>0</v>
      </c>
      <c r="I203" s="6">
        <v>9.7275</v>
      </c>
      <c r="J203" s="6">
        <v>0</v>
      </c>
      <c r="K203" s="6">
        <v>0</v>
      </c>
      <c r="L203" s="6">
        <v>0</v>
      </c>
      <c r="M203" s="6">
        <v>9433.58</v>
      </c>
      <c r="N203" s="6">
        <v>0</v>
      </c>
      <c r="O203" s="6">
        <v>0</v>
      </c>
      <c r="P203" s="6">
        <v>0</v>
      </c>
      <c r="Q203" s="6">
        <v>0</v>
      </c>
      <c r="R203" s="9">
        <f>SUM(D203:Q203)</f>
        <v>13059.5488</v>
      </c>
    </row>
    <row r="204" spans="1:18">
      <c r="A204" s="5" t="s">
        <v>24</v>
      </c>
      <c r="B204" s="5" t="s">
        <v>205</v>
      </c>
      <c r="C204" s="5" t="s">
        <v>233</v>
      </c>
      <c r="D204" s="6">
        <v>7.6826</v>
      </c>
      <c r="E204" s="6">
        <v>2528.6861</v>
      </c>
      <c r="F204" s="6">
        <v>0</v>
      </c>
      <c r="G204" s="6">
        <v>3036.4</v>
      </c>
      <c r="H204" s="6">
        <v>0</v>
      </c>
      <c r="I204" s="6">
        <v>231.465</v>
      </c>
      <c r="J204" s="6">
        <v>9255.3984</v>
      </c>
      <c r="K204" s="6">
        <v>0</v>
      </c>
      <c r="L204" s="6">
        <v>0</v>
      </c>
      <c r="M204" s="6">
        <v>18979.74</v>
      </c>
      <c r="N204" s="6">
        <v>0</v>
      </c>
      <c r="O204" s="6">
        <v>0</v>
      </c>
      <c r="P204" s="6">
        <v>0</v>
      </c>
      <c r="Q204" s="6">
        <v>0</v>
      </c>
      <c r="R204" s="9">
        <f>SUM(D204:Q204)</f>
        <v>34039.3721</v>
      </c>
    </row>
  </sheetData>
  <mergeCells count="1">
    <mergeCell ref="A1:Q1"/>
  </mergeCells>
  <pageMargins left="0.7" right="0.7" top="0.75" bottom="0.75" header="0.3" footer="0.3"/>
  <pageSetup paperSize="9" orientation="portrait"/>
  <headerFooter/>
  <ignoredErrors>
    <ignoredError sqref="H3 C2 I2 I3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hesheng164</cp:lastModifiedBy>
  <dcterms:created xsi:type="dcterms:W3CDTF">2022-09-28T06:10:00Z</dcterms:created>
  <dcterms:modified xsi:type="dcterms:W3CDTF">2026-10-10T11:37:33Z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2052-11.8.2.12089</vt:lpwstr>
  </property>
</Properties>
</file>