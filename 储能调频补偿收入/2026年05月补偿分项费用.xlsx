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工作表" sheetId="1" r:id="rId1"/>
  </sheets>
  <definedNames>
    <definedName name="_xlnm._FilterDatabase" localSheetId="0" hidden="1">工作表!$A$4:$Q$201</definedName>
  </definedNames>
  <calcPr calcId="144525"/>
</workbook>
</file>

<file path=xl/sharedStrings.xml><?xml version="1.0" encoding="utf-8"?>
<sst xmlns="http://schemas.openxmlformats.org/spreadsheetml/2006/main" count="628" uniqueCount="231">
  <si>
    <t>2026年05月补偿分项费用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</si>
  <si>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</si>
  <si>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</si>
  <si>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</si>
  <si>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</si>
  <si>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</si>
  <si>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</si>
  <si>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</si>
  <si>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</si>
  <si>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</si>
  <si>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</si>
  <si>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</si>
  <si>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</si>
  <si>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</si>
  <si>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</si>
  <si>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</si>
  <si>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</si>
  <si>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</si>
  <si>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</si>
  <si>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</si>
  <si>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</si>
  <si>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</si>
  <si>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</si>
  <si>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</si>
  <si>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</si>
  <si>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</si>
  <si>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</si>
  <si>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</si>
  <si>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</si>
  <si>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</si>
  <si>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</si>
  <si>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</si>
  <si>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</si>
  <si>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</si>
  <si>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</si>
  <si>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</si>
  <si>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</si>
  <si>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</si>
  <si>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</si>
  <si>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</si>
  <si>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</si>
  <si>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</si>
  <si>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</si>
  <si>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</si>
  <si>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</si>
  <si>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</si>
  <si>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</si>
  <si>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</si>
  <si>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</si>
  <si>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</si>
  <si>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</si>
  <si>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</si>
  <si>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</si>
  <si>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</si>
  <si>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</si>
  <si>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</si>
  <si>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</si>
  <si>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</si>
  <si>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</si>
  <si>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</si>
  <si>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</si>
  <si>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</si>
  <si>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</si>
  <si>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</si>
  <si>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核电</t>
  </si>
  <si>
    <t>秦山厂</t>
  </si>
  <si>
    <t>三澳核电</t>
  </si>
  <si>
    <t>三门厂</t>
  </si>
  <si>
    <t>燃机</t>
  </si>
  <si>
    <t>220kV镇海发电厂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</si>
  <si>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</si>
  <si>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</si>
  <si>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</si>
  <si>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</si>
  <si>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</si>
  <si>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</si>
  <si>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</si>
  <si>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</si>
  <si>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</si>
  <si>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</si>
  <si>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</si>
  <si>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</si>
  <si>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</si>
  <si>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</si>
  <si>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</si>
  <si>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</si>
  <si>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</si>
  <si>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</si>
  <si>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</si>
  <si>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</si>
  <si>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</si>
  <si>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</si>
  <si>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</si>
  <si>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</si>
  <si>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</si>
  <si>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</si>
  <si>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</si>
  <si>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</si>
  <si>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</si>
  <si>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</si>
  <si>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</si>
  <si>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</si>
  <si>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</si>
  <si>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</si>
  <si>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</si>
  <si>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</si>
  <si>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</si>
  <si>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</si>
  <si>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</si>
  <si>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</si>
  <si>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</si>
  <si>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</si>
  <si>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</si>
  <si>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</si>
  <si>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</si>
  <si>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</si>
  <si>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</si>
  <si>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</si>
  <si>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</si>
  <si>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</si>
  <si>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</si>
  <si>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</si>
  <si>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</si>
  <si>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</si>
  <si>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</si>
  <si>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</si>
  <si>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</si>
  <si>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</si>
  <si>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</si>
  <si>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</si>
  <si>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</si>
  <si>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</si>
  <si>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</si>
  <si>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</si>
  <si>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</si>
  <si>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</si>
  <si>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</si>
  <si>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</si>
  <si>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</si>
  <si>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</si>
  <si>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</si>
  <si>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</si>
  <si>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</si>
  <si>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</si>
  <si>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</si>
  <si>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</si>
  <si>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</si>
  <si>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</si>
  <si>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</si>
  <si>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</si>
  <si>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</si>
  <si>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</si>
  <si>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</si>
  <si>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</si>
  <si>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</si>
  <si>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</si>
  <si>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</si>
  <si>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</si>
  <si>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</si>
  <si>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</si>
  <si>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</si>
  <si>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</si>
  <si>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</si>
  <si>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</si>
  <si>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</si>
  <si>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</si>
  <si>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</si>
  <si>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兴能光伏站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</si>
  <si>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</si>
  <si>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</si>
  <si>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</si>
  <si>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</si>
  <si>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</si>
  <si>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</si>
  <si>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</si>
  <si>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</si>
  <si>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</si>
  <si>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</si>
  <si>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</si>
  <si>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</si>
  <si>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</si>
  <si>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</si>
  <si>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</si>
  <si>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</si>
  <si>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</si>
  <si>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</si>
  <si>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</si>
  <si>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</si>
  <si>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</si>
  <si>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</si>
  <si>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</si>
  <si>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</si>
  <si>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</si>
  <si>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</si>
  <si>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</si>
  <si>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</si>
  <si>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</si>
  <si>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</si>
  <si>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抽蓄</t>
  </si>
  <si>
    <t>宁蓄厂</t>
  </si>
  <si>
    <t>虚拟电厂</t>
  </si>
  <si>
    <t>华能浙江能源聚合中心</t>
  </si>
  <si>
    <t>浙能虚拟能源聚合中心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</si>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</sst>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workbookViewId="0">
      <pane xSplit="3" ySplit="4" topLeftCell="G5" activePane="bottomRight" state="frozen"/>
      <selection/>
      <selection pane="topRight"/>
      <selection pane="bottomLeft"/>
      <selection pane="bottomRight" activeCell="L16" sqref="L16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6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4" t="s">
        <v>16</v>
      </c>
      <c r="B3" s="4" t="s">
        <v>17</v>
      </c>
      <c r="C3" s="5" t="s">
        <v>18</v>
      </c>
      <c r="D3" s="4" t="s">
        <v>19</v>
      </c>
      <c r="E3" s="4" t="s">
        <v>20</v>
      </c>
      <c r="F3" s="4" t="s">
        <v>19</v>
      </c>
      <c r="G3" s="4" t="s">
        <v>19</v>
      </c>
      <c r="H3" s="4" t="s">
        <v>20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4" t="s">
        <v>21</v>
      </c>
    </row>
    <row r="4" s="1" customFormat="1" spans="1:18">
      <c r="A4" s="4" t="s">
        <v>22</v>
      </c>
      <c r="B4" s="4" t="s">
        <v>22</v>
      </c>
      <c r="C4" s="4" t="s">
        <v>23</v>
      </c>
      <c r="D4" s="5">
        <f>SUM(D5:D201)</f>
        <v>416583.0644</v>
      </c>
      <c r="E4" s="5">
        <f t="shared" ref="E4:Q4" si="0">SUM(E5:E201)</f>
        <v>2047536.4956</v>
      </c>
      <c r="F4" s="5">
        <f t="shared" si="0"/>
        <v>0</v>
      </c>
      <c r="G4" s="5">
        <f t="shared" si="0"/>
        <v>7827326</v>
      </c>
      <c r="H4" s="5">
        <f t="shared" si="0"/>
        <v>34026609.58911</v>
      </c>
      <c r="I4" s="5">
        <f t="shared" si="0"/>
        <v>5104574.103</v>
      </c>
      <c r="J4" s="5">
        <f t="shared" si="0"/>
        <v>17589634.5583</v>
      </c>
      <c r="K4" s="5">
        <f t="shared" si="0"/>
        <v>27244719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280000</v>
      </c>
      <c r="R4" s="5">
        <f>SUM(R5:R201)</f>
        <v>94536982.81041</v>
      </c>
    </row>
    <row r="5" spans="1:18">
      <c r="A5" s="4" t="s">
        <v>24</v>
      </c>
      <c r="B5" s="4" t="s">
        <v>25</v>
      </c>
      <c r="C5" s="4" t="s">
        <v>26</v>
      </c>
      <c r="D5" s="5">
        <v>20018.8319</v>
      </c>
      <c r="E5" s="5">
        <v>0</v>
      </c>
      <c r="F5" s="5">
        <v>0</v>
      </c>
      <c r="G5" s="5">
        <v>380788.4</v>
      </c>
      <c r="H5" s="5">
        <v>671034.2695</v>
      </c>
      <c r="I5" s="5">
        <v>2925.648</v>
      </c>
      <c r="J5" s="5">
        <v>678427.2</v>
      </c>
      <c r="K5" s="5">
        <v>815121.5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7">
        <f>SUM(D5:Q5)</f>
        <v>2568315.8494</v>
      </c>
    </row>
    <row r="6" spans="1:18">
      <c r="A6" s="4" t="s">
        <v>24</v>
      </c>
      <c r="B6" s="4" t="s">
        <v>25</v>
      </c>
      <c r="C6" s="4" t="s">
        <v>27</v>
      </c>
      <c r="D6" s="5">
        <v>9080.661</v>
      </c>
      <c r="E6" s="5">
        <v>0</v>
      </c>
      <c r="F6" s="5">
        <v>0</v>
      </c>
      <c r="G6" s="5">
        <v>204853.6</v>
      </c>
      <c r="H6" s="5">
        <v>40611.63</v>
      </c>
      <c r="I6" s="5">
        <v>1456.422</v>
      </c>
      <c r="J6" s="5">
        <v>149864.4</v>
      </c>
      <c r="K6" s="5">
        <v>605074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7">
        <f t="shared" ref="R6:R37" si="1">SUM(D6:Q6)</f>
        <v>1010940.713</v>
      </c>
    </row>
    <row r="7" spans="1:18">
      <c r="A7" s="4" t="s">
        <v>24</v>
      </c>
      <c r="B7" s="4" t="s">
        <v>25</v>
      </c>
      <c r="C7" s="4" t="s">
        <v>28</v>
      </c>
      <c r="D7" s="5">
        <v>8406.7116</v>
      </c>
      <c r="E7" s="5">
        <v>0</v>
      </c>
      <c r="F7" s="5">
        <v>0</v>
      </c>
      <c r="G7" s="5">
        <v>78064.4</v>
      </c>
      <c r="H7" s="5">
        <v>29373.97</v>
      </c>
      <c r="I7" s="5">
        <v>4267.761</v>
      </c>
      <c r="J7" s="5">
        <v>323835.75</v>
      </c>
      <c r="K7" s="5">
        <v>623743.5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7">
        <f t="shared" si="1"/>
        <v>1067692.0926</v>
      </c>
    </row>
    <row r="8" spans="1:18">
      <c r="A8" s="4" t="s">
        <v>24</v>
      </c>
      <c r="B8" s="4" t="s">
        <v>25</v>
      </c>
      <c r="C8" s="4" t="s">
        <v>29</v>
      </c>
      <c r="D8" s="5">
        <v>18500.2609</v>
      </c>
      <c r="E8" s="5">
        <v>0</v>
      </c>
      <c r="F8" s="5">
        <v>0</v>
      </c>
      <c r="G8" s="5">
        <v>359268.4</v>
      </c>
      <c r="H8" s="5">
        <v>257604.48</v>
      </c>
      <c r="I8" s="5">
        <v>18941.193</v>
      </c>
      <c r="J8" s="5">
        <v>673160</v>
      </c>
      <c r="K8" s="5">
        <v>1065029.5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7">
        <f t="shared" si="1"/>
        <v>2392503.8339</v>
      </c>
    </row>
    <row r="9" spans="1:18">
      <c r="A9" s="4" t="s">
        <v>24</v>
      </c>
      <c r="B9" s="4" t="s">
        <v>25</v>
      </c>
      <c r="C9" s="4" t="s">
        <v>30</v>
      </c>
      <c r="D9" s="5">
        <v>15957.9457</v>
      </c>
      <c r="E9" s="5">
        <v>0</v>
      </c>
      <c r="F9" s="5">
        <v>0</v>
      </c>
      <c r="G9" s="5">
        <v>362768.8</v>
      </c>
      <c r="H9" s="5">
        <v>636396.33</v>
      </c>
      <c r="I9" s="5">
        <v>0</v>
      </c>
      <c r="J9" s="5">
        <v>666890</v>
      </c>
      <c r="K9" s="5">
        <v>1252374.5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7">
        <f t="shared" si="1"/>
        <v>2934387.5757</v>
      </c>
    </row>
    <row r="10" spans="1:18">
      <c r="A10" s="4" t="s">
        <v>24</v>
      </c>
      <c r="B10" s="4" t="s">
        <v>25</v>
      </c>
      <c r="C10" s="4" t="s">
        <v>31</v>
      </c>
      <c r="D10" s="5">
        <v>24027.5969</v>
      </c>
      <c r="E10" s="5">
        <v>0</v>
      </c>
      <c r="F10" s="5">
        <v>0</v>
      </c>
      <c r="G10" s="5">
        <v>321460.8</v>
      </c>
      <c r="H10" s="5">
        <v>33362.24</v>
      </c>
      <c r="I10" s="5">
        <v>261.1725</v>
      </c>
      <c r="J10" s="5">
        <v>654856.9</v>
      </c>
      <c r="K10" s="5">
        <v>831982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7">
        <f t="shared" si="1"/>
        <v>1865950.7094</v>
      </c>
    </row>
    <row r="11" spans="1:18">
      <c r="A11" s="4" t="s">
        <v>24</v>
      </c>
      <c r="B11" s="4" t="s">
        <v>25</v>
      </c>
      <c r="C11" s="4" t="s">
        <v>32</v>
      </c>
      <c r="D11" s="5">
        <v>6284.608</v>
      </c>
      <c r="E11" s="5">
        <v>0</v>
      </c>
      <c r="F11" s="5">
        <v>0</v>
      </c>
      <c r="G11" s="5">
        <v>105340.4</v>
      </c>
      <c r="H11" s="5">
        <v>384624</v>
      </c>
      <c r="I11" s="5">
        <v>250343.667</v>
      </c>
      <c r="J11" s="5">
        <v>238545.855</v>
      </c>
      <c r="K11" s="5">
        <v>876038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7">
        <f t="shared" si="1"/>
        <v>1861176.53</v>
      </c>
    </row>
    <row r="12" spans="1:18">
      <c r="A12" s="4" t="s">
        <v>24</v>
      </c>
      <c r="B12" s="4" t="s">
        <v>25</v>
      </c>
      <c r="C12" s="4" t="s">
        <v>33</v>
      </c>
      <c r="D12" s="5">
        <v>13537.3674</v>
      </c>
      <c r="E12" s="5">
        <v>0</v>
      </c>
      <c r="F12" s="5">
        <v>0</v>
      </c>
      <c r="G12" s="5">
        <v>277635.6</v>
      </c>
      <c r="H12" s="5">
        <v>235400.35</v>
      </c>
      <c r="I12" s="5">
        <v>5398.4385</v>
      </c>
      <c r="J12" s="5">
        <v>431778.6</v>
      </c>
      <c r="K12" s="5">
        <v>588582.5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7">
        <f t="shared" si="1"/>
        <v>1552332.8559</v>
      </c>
    </row>
    <row r="13" spans="1:18">
      <c r="A13" s="4" t="s">
        <v>24</v>
      </c>
      <c r="B13" s="4" t="s">
        <v>25</v>
      </c>
      <c r="C13" s="4" t="s">
        <v>34</v>
      </c>
      <c r="D13" s="5">
        <v>10546.5746</v>
      </c>
      <c r="E13" s="5">
        <v>0</v>
      </c>
      <c r="F13" s="5">
        <v>0</v>
      </c>
      <c r="G13" s="5">
        <v>152543.6</v>
      </c>
      <c r="H13" s="5">
        <v>557443.15338</v>
      </c>
      <c r="I13" s="5">
        <v>4037.8455</v>
      </c>
      <c r="J13" s="5">
        <v>446358</v>
      </c>
      <c r="K13" s="5">
        <v>637127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7">
        <f t="shared" si="1"/>
        <v>1808056.17348</v>
      </c>
    </row>
    <row r="14" spans="1:18">
      <c r="A14" s="4" t="s">
        <v>24</v>
      </c>
      <c r="B14" s="4" t="s">
        <v>25</v>
      </c>
      <c r="C14" s="4" t="s">
        <v>35</v>
      </c>
      <c r="D14" s="5">
        <v>10436.3701</v>
      </c>
      <c r="E14" s="5">
        <v>0</v>
      </c>
      <c r="F14" s="5">
        <v>0</v>
      </c>
      <c r="G14" s="5">
        <v>221941.2</v>
      </c>
      <c r="H14" s="5">
        <v>37126.74</v>
      </c>
      <c r="I14" s="5">
        <v>2413.9005</v>
      </c>
      <c r="J14" s="5">
        <v>560155</v>
      </c>
      <c r="K14" s="5">
        <v>429119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7">
        <f t="shared" si="1"/>
        <v>1261192.2106</v>
      </c>
    </row>
    <row r="15" spans="1:18">
      <c r="A15" s="4" t="s">
        <v>24</v>
      </c>
      <c r="B15" s="4" t="s">
        <v>25</v>
      </c>
      <c r="C15" s="4" t="s">
        <v>36</v>
      </c>
      <c r="D15" s="5">
        <v>18160.6072</v>
      </c>
      <c r="E15" s="5">
        <v>0</v>
      </c>
      <c r="F15" s="5">
        <v>0</v>
      </c>
      <c r="G15" s="5">
        <v>164147.6</v>
      </c>
      <c r="H15" s="5">
        <v>3248025.4498</v>
      </c>
      <c r="I15" s="5">
        <v>19157.418</v>
      </c>
      <c r="J15" s="5">
        <v>703117.7</v>
      </c>
      <c r="K15" s="5">
        <v>2499913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7">
        <f t="shared" si="1"/>
        <v>6652521.775</v>
      </c>
    </row>
    <row r="16" spans="1:18">
      <c r="A16" s="4" t="s">
        <v>24</v>
      </c>
      <c r="B16" s="4" t="s">
        <v>25</v>
      </c>
      <c r="C16" s="4" t="s">
        <v>37</v>
      </c>
      <c r="D16" s="5">
        <v>7477.9052</v>
      </c>
      <c r="E16" s="5">
        <v>0</v>
      </c>
      <c r="F16" s="5">
        <v>0</v>
      </c>
      <c r="G16" s="5">
        <v>241224.4</v>
      </c>
      <c r="H16" s="5">
        <v>403891.73407</v>
      </c>
      <c r="I16" s="5">
        <v>14521.5105</v>
      </c>
      <c r="J16" s="5">
        <v>232480.05</v>
      </c>
      <c r="K16" s="5">
        <v>305702.5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7">
        <f t="shared" si="1"/>
        <v>1205298.09977</v>
      </c>
    </row>
    <row r="17" spans="1:18">
      <c r="A17" s="4" t="s">
        <v>24</v>
      </c>
      <c r="B17" s="4" t="s">
        <v>25</v>
      </c>
      <c r="C17" s="4" t="s">
        <v>38</v>
      </c>
      <c r="D17" s="5">
        <v>114.0396</v>
      </c>
      <c r="E17" s="5">
        <v>0</v>
      </c>
      <c r="F17" s="5">
        <v>0</v>
      </c>
      <c r="G17" s="5">
        <v>0</v>
      </c>
      <c r="H17" s="5">
        <v>0</v>
      </c>
      <c r="I17" s="5">
        <v>487096.4625</v>
      </c>
      <c r="J17" s="5">
        <v>0</v>
      </c>
      <c r="K17" s="5">
        <v>78398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7">
        <f t="shared" si="1"/>
        <v>565608.5021</v>
      </c>
    </row>
    <row r="18" spans="1:18">
      <c r="A18" s="4" t="s">
        <v>24</v>
      </c>
      <c r="B18" s="4" t="s">
        <v>25</v>
      </c>
      <c r="C18" s="4" t="s">
        <v>39</v>
      </c>
      <c r="D18" s="5">
        <v>19566.0193</v>
      </c>
      <c r="E18" s="5">
        <v>0</v>
      </c>
      <c r="F18" s="5">
        <v>0</v>
      </c>
      <c r="G18" s="5">
        <v>555814</v>
      </c>
      <c r="H18" s="5">
        <v>278904.37</v>
      </c>
      <c r="I18" s="5">
        <v>1162.9635</v>
      </c>
      <c r="J18" s="5">
        <v>767378.7</v>
      </c>
      <c r="K18" s="5">
        <v>836389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7">
        <f t="shared" si="1"/>
        <v>2459215.0528</v>
      </c>
    </row>
    <row r="19" spans="1:18">
      <c r="A19" s="4" t="s">
        <v>24</v>
      </c>
      <c r="B19" s="4" t="s">
        <v>25</v>
      </c>
      <c r="C19" s="4" t="s">
        <v>40</v>
      </c>
      <c r="D19" s="5">
        <v>6893.1348</v>
      </c>
      <c r="E19" s="5">
        <v>0</v>
      </c>
      <c r="F19" s="5">
        <v>0</v>
      </c>
      <c r="G19" s="5">
        <v>167720.4</v>
      </c>
      <c r="H19" s="5">
        <v>817702.04909</v>
      </c>
      <c r="I19" s="5">
        <v>17839.836</v>
      </c>
      <c r="J19" s="5">
        <v>209104.35</v>
      </c>
      <c r="K19" s="5">
        <v>422061.5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7">
        <f t="shared" si="1"/>
        <v>1641321.26989</v>
      </c>
    </row>
    <row r="20" spans="1:18">
      <c r="A20" s="4" t="s">
        <v>24</v>
      </c>
      <c r="B20" s="4" t="s">
        <v>25</v>
      </c>
      <c r="C20" s="4" t="s">
        <v>41</v>
      </c>
      <c r="D20" s="5">
        <v>7112.1632</v>
      </c>
      <c r="E20" s="5">
        <v>0</v>
      </c>
      <c r="F20" s="5">
        <v>0</v>
      </c>
      <c r="G20" s="5">
        <v>217522.8</v>
      </c>
      <c r="H20" s="5">
        <v>544840.77472</v>
      </c>
      <c r="I20" s="5">
        <v>162.6645</v>
      </c>
      <c r="J20" s="5">
        <v>468778.2</v>
      </c>
      <c r="K20" s="5">
        <v>612567.5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7">
        <f t="shared" si="1"/>
        <v>1850984.10242</v>
      </c>
    </row>
    <row r="21" spans="1:18">
      <c r="A21" s="4" t="s">
        <v>24</v>
      </c>
      <c r="B21" s="4" t="s">
        <v>25</v>
      </c>
      <c r="C21" s="4" t="s">
        <v>42</v>
      </c>
      <c r="D21" s="5">
        <v>15707.7792</v>
      </c>
      <c r="E21" s="5">
        <v>0</v>
      </c>
      <c r="F21" s="5">
        <v>0</v>
      </c>
      <c r="G21" s="5">
        <v>263569.6</v>
      </c>
      <c r="H21" s="5">
        <v>561182</v>
      </c>
      <c r="I21" s="5">
        <v>766.191</v>
      </c>
      <c r="J21" s="5">
        <v>648080.4</v>
      </c>
      <c r="K21" s="5">
        <v>1143359.5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7">
        <f t="shared" si="1"/>
        <v>2632665.4702</v>
      </c>
    </row>
    <row r="22" spans="1:18">
      <c r="A22" s="4" t="s">
        <v>24</v>
      </c>
      <c r="B22" s="4" t="s">
        <v>25</v>
      </c>
      <c r="C22" s="4" t="s">
        <v>43</v>
      </c>
      <c r="D22" s="5">
        <v>21243.4984</v>
      </c>
      <c r="E22" s="5">
        <v>0</v>
      </c>
      <c r="F22" s="5">
        <v>0</v>
      </c>
      <c r="G22" s="5">
        <v>212539.6</v>
      </c>
      <c r="H22" s="5">
        <v>31797.29</v>
      </c>
      <c r="I22" s="5">
        <v>4917.1365</v>
      </c>
      <c r="J22" s="5">
        <v>901053.1</v>
      </c>
      <c r="K22" s="5">
        <v>1532192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7">
        <f t="shared" si="1"/>
        <v>2703742.6249</v>
      </c>
    </row>
    <row r="23" spans="1:18">
      <c r="A23" s="4" t="s">
        <v>24</v>
      </c>
      <c r="B23" s="4" t="s">
        <v>25</v>
      </c>
      <c r="C23" s="4" t="s">
        <v>44</v>
      </c>
      <c r="D23" s="5">
        <v>25.5673</v>
      </c>
      <c r="E23" s="5">
        <v>0</v>
      </c>
      <c r="F23" s="5">
        <v>0</v>
      </c>
      <c r="G23" s="5">
        <v>0</v>
      </c>
      <c r="H23" s="5">
        <v>826800</v>
      </c>
      <c r="I23" s="5">
        <v>6628.548</v>
      </c>
      <c r="J23" s="5">
        <v>1564.5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7">
        <f t="shared" si="1"/>
        <v>835018.6153</v>
      </c>
    </row>
    <row r="24" spans="1:18">
      <c r="A24" s="4" t="s">
        <v>24</v>
      </c>
      <c r="B24" s="4" t="s">
        <v>25</v>
      </c>
      <c r="C24" s="4" t="s">
        <v>45</v>
      </c>
      <c r="D24" s="5">
        <v>31567.1599</v>
      </c>
      <c r="E24" s="5">
        <v>0</v>
      </c>
      <c r="F24" s="5">
        <v>0</v>
      </c>
      <c r="G24" s="5">
        <v>620248</v>
      </c>
      <c r="H24" s="5">
        <v>1601424.95406</v>
      </c>
      <c r="I24" s="5">
        <v>126.321</v>
      </c>
      <c r="J24" s="5">
        <v>857275.65</v>
      </c>
      <c r="K24" s="5">
        <v>1356372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>
        <f t="shared" si="1"/>
        <v>4467014.08496</v>
      </c>
    </row>
    <row r="25" spans="1:18">
      <c r="A25" s="4" t="s">
        <v>24</v>
      </c>
      <c r="B25" s="4" t="s">
        <v>25</v>
      </c>
      <c r="C25" s="4" t="s">
        <v>46</v>
      </c>
      <c r="D25" s="5">
        <v>15905.1071</v>
      </c>
      <c r="E25" s="5">
        <v>0</v>
      </c>
      <c r="F25" s="5">
        <v>0</v>
      </c>
      <c r="G25" s="5">
        <v>432706.4</v>
      </c>
      <c r="H25" s="5">
        <v>674538.16491</v>
      </c>
      <c r="I25" s="5">
        <v>1392.5775</v>
      </c>
      <c r="J25" s="5">
        <v>538366.5</v>
      </c>
      <c r="K25" s="5">
        <v>1216592.5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>
        <f t="shared" si="1"/>
        <v>2879501.24951</v>
      </c>
    </row>
    <row r="26" spans="1:18">
      <c r="A26" s="4" t="s">
        <v>24</v>
      </c>
      <c r="B26" s="4" t="s">
        <v>25</v>
      </c>
      <c r="C26" s="4" t="s">
        <v>47</v>
      </c>
      <c r="D26" s="5">
        <v>602.322</v>
      </c>
      <c r="E26" s="5">
        <v>0</v>
      </c>
      <c r="F26" s="5">
        <v>0</v>
      </c>
      <c r="G26" s="5">
        <v>0</v>
      </c>
      <c r="H26" s="5">
        <v>0</v>
      </c>
      <c r="I26" s="5">
        <v>2289.684</v>
      </c>
      <c r="J26" s="5">
        <v>0</v>
      </c>
      <c r="K26" s="5">
        <v>289196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>
        <f t="shared" si="1"/>
        <v>292088.006</v>
      </c>
    </row>
    <row r="27" spans="1:18">
      <c r="A27" s="4" t="s">
        <v>24</v>
      </c>
      <c r="B27" s="4" t="s">
        <v>25</v>
      </c>
      <c r="C27" s="4" t="s">
        <v>48</v>
      </c>
      <c r="D27" s="5">
        <v>8981.3401</v>
      </c>
      <c r="E27" s="5">
        <v>0</v>
      </c>
      <c r="F27" s="5">
        <v>0</v>
      </c>
      <c r="G27" s="5">
        <v>164808.8</v>
      </c>
      <c r="H27" s="5">
        <v>628094.29736</v>
      </c>
      <c r="I27" s="5">
        <v>1215.363</v>
      </c>
      <c r="J27" s="5">
        <v>479472.4</v>
      </c>
      <c r="K27" s="5">
        <v>212833.5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7">
        <f t="shared" si="1"/>
        <v>1495405.70046</v>
      </c>
    </row>
    <row r="28" spans="1:18">
      <c r="A28" s="4" t="s">
        <v>24</v>
      </c>
      <c r="B28" s="4" t="s">
        <v>25</v>
      </c>
      <c r="C28" s="4" t="s">
        <v>49</v>
      </c>
      <c r="D28" s="5">
        <v>4670.7593</v>
      </c>
      <c r="E28" s="5">
        <v>0</v>
      </c>
      <c r="F28" s="5">
        <v>0</v>
      </c>
      <c r="G28" s="5">
        <v>73939.6</v>
      </c>
      <c r="H28" s="5">
        <v>406962.32635</v>
      </c>
      <c r="I28" s="5">
        <v>2395.932</v>
      </c>
      <c r="J28" s="5">
        <v>197460.45</v>
      </c>
      <c r="K28" s="5">
        <v>178732.5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7">
        <f t="shared" si="1"/>
        <v>864161.56765</v>
      </c>
    </row>
    <row r="29" spans="1:18">
      <c r="A29" s="4" t="s">
        <v>24</v>
      </c>
      <c r="B29" s="4" t="s">
        <v>25</v>
      </c>
      <c r="C29" s="4" t="s">
        <v>50</v>
      </c>
      <c r="D29" s="5">
        <v>10166.3908</v>
      </c>
      <c r="E29" s="5">
        <v>0</v>
      </c>
      <c r="F29" s="5">
        <v>0</v>
      </c>
      <c r="G29" s="5">
        <v>178422.4</v>
      </c>
      <c r="H29" s="5">
        <v>444476.7724</v>
      </c>
      <c r="I29" s="5">
        <v>4532.028</v>
      </c>
      <c r="J29" s="5">
        <v>463062.6</v>
      </c>
      <c r="K29" s="5">
        <v>429009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>
        <f t="shared" si="1"/>
        <v>1529669.1912</v>
      </c>
    </row>
    <row r="30" spans="1:18">
      <c r="A30" s="4" t="s">
        <v>24</v>
      </c>
      <c r="B30" s="4" t="s">
        <v>25</v>
      </c>
      <c r="C30" s="4" t="s">
        <v>51</v>
      </c>
      <c r="D30" s="5">
        <v>4617.0811</v>
      </c>
      <c r="E30" s="5">
        <v>0</v>
      </c>
      <c r="F30" s="5">
        <v>0</v>
      </c>
      <c r="G30" s="5">
        <v>15102.4</v>
      </c>
      <c r="H30" s="5">
        <v>1.1</v>
      </c>
      <c r="I30" s="5">
        <v>2364.09</v>
      </c>
      <c r="J30" s="5">
        <v>222363.9</v>
      </c>
      <c r="K30" s="5">
        <v>153596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7">
        <f t="shared" si="1"/>
        <v>398044.5711</v>
      </c>
    </row>
    <row r="31" spans="1:18">
      <c r="A31" s="4" t="s">
        <v>24</v>
      </c>
      <c r="B31" s="4" t="s">
        <v>25</v>
      </c>
      <c r="C31" s="4" t="s">
        <v>52</v>
      </c>
      <c r="D31" s="5">
        <v>17017.9667</v>
      </c>
      <c r="E31" s="5">
        <v>0</v>
      </c>
      <c r="F31" s="5">
        <v>0</v>
      </c>
      <c r="G31" s="5">
        <v>226926.8</v>
      </c>
      <c r="H31" s="5">
        <v>581620.3208</v>
      </c>
      <c r="I31" s="5">
        <v>5993.4885</v>
      </c>
      <c r="J31" s="5">
        <v>850609.5</v>
      </c>
      <c r="K31" s="5">
        <v>1369066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>
        <f t="shared" si="1"/>
        <v>3051234.076</v>
      </c>
    </row>
    <row r="32" spans="1:18">
      <c r="A32" s="4" t="s">
        <v>24</v>
      </c>
      <c r="B32" s="4" t="s">
        <v>25</v>
      </c>
      <c r="C32" s="4" t="s">
        <v>53</v>
      </c>
      <c r="D32" s="5">
        <v>41010.2154</v>
      </c>
      <c r="E32" s="5">
        <v>0</v>
      </c>
      <c r="F32" s="5">
        <v>0</v>
      </c>
      <c r="G32" s="5">
        <v>896347.2</v>
      </c>
      <c r="H32" s="5">
        <v>1955437.89507</v>
      </c>
      <c r="I32" s="5">
        <v>1133.3415</v>
      </c>
      <c r="J32" s="5">
        <v>2163435.925</v>
      </c>
      <c r="K32" s="5">
        <v>1634538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>
        <f t="shared" si="1"/>
        <v>6691902.57697</v>
      </c>
    </row>
    <row r="33" spans="1:18">
      <c r="A33" s="4" t="s">
        <v>24</v>
      </c>
      <c r="B33" s="4" t="s">
        <v>25</v>
      </c>
      <c r="C33" s="4" t="s">
        <v>54</v>
      </c>
      <c r="D33" s="5">
        <v>16368.3761</v>
      </c>
      <c r="E33" s="5">
        <v>0</v>
      </c>
      <c r="F33" s="5">
        <v>0</v>
      </c>
      <c r="G33" s="5">
        <v>238420.8</v>
      </c>
      <c r="H33" s="5">
        <v>960</v>
      </c>
      <c r="I33" s="5">
        <v>5534.763</v>
      </c>
      <c r="J33" s="5">
        <v>459534.9</v>
      </c>
      <c r="K33" s="5">
        <v>607237.5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>
        <f t="shared" si="1"/>
        <v>1328056.3391</v>
      </c>
    </row>
    <row r="34" spans="1:18">
      <c r="A34" s="4" t="s">
        <v>24</v>
      </c>
      <c r="B34" s="4" t="s">
        <v>55</v>
      </c>
      <c r="C34" s="4" t="s">
        <v>56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16.842</v>
      </c>
      <c r="J34" s="5">
        <v>0</v>
      </c>
      <c r="K34" s="5">
        <v>4603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>
        <f t="shared" si="1"/>
        <v>4619.842</v>
      </c>
    </row>
    <row r="35" spans="1:18">
      <c r="A35" s="4" t="s">
        <v>24</v>
      </c>
      <c r="B35" s="4" t="s">
        <v>55</v>
      </c>
      <c r="C35" s="4" t="s">
        <v>57</v>
      </c>
      <c r="D35" s="5">
        <v>0</v>
      </c>
      <c r="E35" s="5">
        <v>0</v>
      </c>
      <c r="F35" s="5">
        <v>0</v>
      </c>
      <c r="G35" s="5">
        <v>0</v>
      </c>
      <c r="H35" s="5">
        <v>15230.28</v>
      </c>
      <c r="I35" s="5">
        <v>10.674</v>
      </c>
      <c r="J35" s="5">
        <v>0</v>
      </c>
      <c r="K35" s="5">
        <v>1923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7">
        <f t="shared" si="1"/>
        <v>17163.954</v>
      </c>
    </row>
    <row r="36" spans="1:18">
      <c r="A36" s="4" t="s">
        <v>24</v>
      </c>
      <c r="B36" s="4" t="s">
        <v>55</v>
      </c>
      <c r="C36" s="4" t="s">
        <v>58</v>
      </c>
      <c r="D36" s="5">
        <v>4.2292</v>
      </c>
      <c r="E36" s="5">
        <v>0</v>
      </c>
      <c r="F36" s="5">
        <v>0</v>
      </c>
      <c r="G36" s="5">
        <v>3489.6</v>
      </c>
      <c r="H36" s="5">
        <v>13485.0015</v>
      </c>
      <c r="I36" s="5">
        <v>2.268</v>
      </c>
      <c r="J36" s="5">
        <v>0</v>
      </c>
      <c r="K36" s="5">
        <v>9601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40000</v>
      </c>
      <c r="R36" s="7">
        <f t="shared" si="1"/>
        <v>66582.0987</v>
      </c>
    </row>
    <row r="37" spans="1:18">
      <c r="A37" s="4" t="s">
        <v>24</v>
      </c>
      <c r="B37" s="4" t="s">
        <v>55</v>
      </c>
      <c r="C37" s="4" t="s">
        <v>59</v>
      </c>
      <c r="D37" s="5">
        <v>10.7798</v>
      </c>
      <c r="E37" s="5">
        <v>0</v>
      </c>
      <c r="F37" s="5">
        <v>0</v>
      </c>
      <c r="G37" s="5">
        <v>5465.2</v>
      </c>
      <c r="H37" s="5">
        <v>121603.275</v>
      </c>
      <c r="I37" s="5">
        <v>1810.0575</v>
      </c>
      <c r="J37" s="5">
        <v>19314.5</v>
      </c>
      <c r="K37" s="5">
        <v>21045.5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40000</v>
      </c>
      <c r="R37" s="7">
        <f t="shared" si="1"/>
        <v>209249.3123</v>
      </c>
    </row>
    <row r="38" spans="1:18">
      <c r="A38" s="4" t="s">
        <v>24</v>
      </c>
      <c r="B38" s="4" t="s">
        <v>55</v>
      </c>
      <c r="C38" s="4" t="s">
        <v>60</v>
      </c>
      <c r="D38" s="5">
        <v>6.1066</v>
      </c>
      <c r="E38" s="5">
        <v>0</v>
      </c>
      <c r="F38" s="5">
        <v>0</v>
      </c>
      <c r="G38" s="5">
        <v>0</v>
      </c>
      <c r="H38" s="5">
        <v>19551.532</v>
      </c>
      <c r="I38" s="5">
        <v>363.9795</v>
      </c>
      <c r="J38" s="5">
        <v>0</v>
      </c>
      <c r="K38" s="5">
        <v>8608.5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40000</v>
      </c>
      <c r="R38" s="7">
        <f t="shared" ref="R38:R69" si="2">SUM(D38:Q38)</f>
        <v>68530.1181</v>
      </c>
    </row>
    <row r="39" spans="1:18">
      <c r="A39" s="4" t="s">
        <v>24</v>
      </c>
      <c r="B39" s="4" t="s">
        <v>55</v>
      </c>
      <c r="C39" s="4" t="s">
        <v>61</v>
      </c>
      <c r="D39" s="5">
        <v>40.0175</v>
      </c>
      <c r="E39" s="5">
        <v>0</v>
      </c>
      <c r="F39" s="5">
        <v>0</v>
      </c>
      <c r="G39" s="5">
        <v>8648</v>
      </c>
      <c r="H39" s="5">
        <v>416514.8</v>
      </c>
      <c r="I39" s="5">
        <v>2157.5775</v>
      </c>
      <c r="J39" s="5">
        <v>71210</v>
      </c>
      <c r="K39" s="5">
        <v>92109.5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40000</v>
      </c>
      <c r="R39" s="7">
        <f t="shared" si="2"/>
        <v>630679.895</v>
      </c>
    </row>
    <row r="40" spans="1:18">
      <c r="A40" s="4" t="s">
        <v>24</v>
      </c>
      <c r="B40" s="4" t="s">
        <v>55</v>
      </c>
      <c r="C40" s="4" t="s">
        <v>62</v>
      </c>
      <c r="D40" s="5">
        <v>16.9494</v>
      </c>
      <c r="E40" s="5">
        <v>0</v>
      </c>
      <c r="F40" s="5">
        <v>0</v>
      </c>
      <c r="G40" s="5">
        <v>11404</v>
      </c>
      <c r="H40" s="5">
        <v>205743.96</v>
      </c>
      <c r="I40" s="5">
        <v>546.147</v>
      </c>
      <c r="J40" s="5">
        <v>41242.4</v>
      </c>
      <c r="K40" s="5">
        <v>57261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40000</v>
      </c>
      <c r="R40" s="7">
        <f t="shared" si="2"/>
        <v>356214.4564</v>
      </c>
    </row>
    <row r="41" spans="1:18">
      <c r="A41" s="4" t="s">
        <v>24</v>
      </c>
      <c r="B41" s="4" t="s">
        <v>55</v>
      </c>
      <c r="C41" s="4" t="s">
        <v>63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7">
        <f t="shared" si="2"/>
        <v>0</v>
      </c>
    </row>
    <row r="42" spans="1:18">
      <c r="A42" s="4" t="s">
        <v>24</v>
      </c>
      <c r="B42" s="4" t="s">
        <v>64</v>
      </c>
      <c r="C42" s="4" t="s">
        <v>65</v>
      </c>
      <c r="D42" s="5">
        <v>0</v>
      </c>
      <c r="E42" s="5">
        <v>0</v>
      </c>
      <c r="F42" s="5">
        <v>0</v>
      </c>
      <c r="G42" s="5">
        <v>0</v>
      </c>
      <c r="H42" s="5">
        <v>590752.88</v>
      </c>
      <c r="I42" s="5">
        <v>0</v>
      </c>
      <c r="J42" s="5">
        <v>0</v>
      </c>
      <c r="K42" s="5">
        <v>44419.5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7">
        <f t="shared" si="2"/>
        <v>635172.38</v>
      </c>
    </row>
    <row r="43" spans="1:18">
      <c r="A43" s="4" t="s">
        <v>24</v>
      </c>
      <c r="B43" s="4" t="s">
        <v>64</v>
      </c>
      <c r="C43" s="4" t="s">
        <v>66</v>
      </c>
      <c r="D43" s="5">
        <v>0</v>
      </c>
      <c r="E43" s="5">
        <v>0</v>
      </c>
      <c r="F43" s="5">
        <v>0</v>
      </c>
      <c r="G43" s="5">
        <v>0</v>
      </c>
      <c r="H43" s="5">
        <v>1269109.08</v>
      </c>
      <c r="I43" s="5">
        <v>3109.6995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7">
        <f t="shared" si="2"/>
        <v>1272218.7795</v>
      </c>
    </row>
    <row r="44" spans="1:18">
      <c r="A44" s="4" t="s">
        <v>24</v>
      </c>
      <c r="B44" s="4" t="s">
        <v>64</v>
      </c>
      <c r="C44" s="4" t="s">
        <v>67</v>
      </c>
      <c r="D44" s="5">
        <v>0</v>
      </c>
      <c r="E44" s="5">
        <v>0</v>
      </c>
      <c r="F44" s="5">
        <v>0</v>
      </c>
      <c r="G44" s="5">
        <v>0</v>
      </c>
      <c r="H44" s="5">
        <v>5334624.79</v>
      </c>
      <c r="I44" s="5">
        <v>0</v>
      </c>
      <c r="J44" s="5">
        <v>0</v>
      </c>
      <c r="K44" s="5">
        <v>216385.5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7">
        <f t="shared" si="2"/>
        <v>5551010.29</v>
      </c>
    </row>
    <row r="45" spans="1:18">
      <c r="A45" s="4" t="s">
        <v>24</v>
      </c>
      <c r="B45" s="4" t="s">
        <v>68</v>
      </c>
      <c r="C45" s="4" t="s">
        <v>69</v>
      </c>
      <c r="D45" s="5">
        <v>2156.8211</v>
      </c>
      <c r="E45" s="5">
        <v>0</v>
      </c>
      <c r="F45" s="5">
        <v>0</v>
      </c>
      <c r="G45" s="5">
        <v>36096</v>
      </c>
      <c r="H45" s="5">
        <v>668416.2</v>
      </c>
      <c r="I45" s="5">
        <v>4132.32</v>
      </c>
      <c r="J45" s="5">
        <v>70806.208</v>
      </c>
      <c r="K45" s="5">
        <v>473089.5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7">
        <f t="shared" si="2"/>
        <v>1254697.0491</v>
      </c>
    </row>
    <row r="46" spans="1:18">
      <c r="A46" s="4" t="s">
        <v>24</v>
      </c>
      <c r="B46" s="4" t="s">
        <v>68</v>
      </c>
      <c r="C46" s="4" t="s">
        <v>70</v>
      </c>
      <c r="D46" s="5">
        <v>6540.4198</v>
      </c>
      <c r="E46" s="5">
        <v>0</v>
      </c>
      <c r="F46" s="5">
        <v>0</v>
      </c>
      <c r="G46" s="5">
        <v>101004</v>
      </c>
      <c r="H46" s="5">
        <v>2739738.15</v>
      </c>
      <c r="I46" s="5">
        <v>3870.6045</v>
      </c>
      <c r="J46" s="5">
        <v>182649.65</v>
      </c>
      <c r="K46" s="5">
        <v>539188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7">
        <f t="shared" si="2"/>
        <v>3572990.8243</v>
      </c>
    </row>
    <row r="47" spans="1:18">
      <c r="A47" s="4" t="s">
        <v>24</v>
      </c>
      <c r="B47" s="4" t="s">
        <v>68</v>
      </c>
      <c r="C47" s="4" t="s">
        <v>71</v>
      </c>
      <c r="D47" s="5">
        <v>1709.1048</v>
      </c>
      <c r="E47" s="5">
        <v>0</v>
      </c>
      <c r="F47" s="5">
        <v>0</v>
      </c>
      <c r="G47" s="5">
        <v>0</v>
      </c>
      <c r="H47" s="5">
        <v>350370</v>
      </c>
      <c r="I47" s="5">
        <v>174.3795</v>
      </c>
      <c r="J47" s="5">
        <v>61578.1</v>
      </c>
      <c r="K47" s="5">
        <v>139163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7">
        <f t="shared" si="2"/>
        <v>552994.5843</v>
      </c>
    </row>
    <row r="48" spans="1:18">
      <c r="A48" s="4" t="s">
        <v>24</v>
      </c>
      <c r="B48" s="4" t="s">
        <v>68</v>
      </c>
      <c r="C48" s="4" t="s">
        <v>72</v>
      </c>
      <c r="D48" s="5">
        <v>1261.3008</v>
      </c>
      <c r="E48" s="5">
        <v>0</v>
      </c>
      <c r="F48" s="5">
        <v>0</v>
      </c>
      <c r="G48" s="5">
        <v>0</v>
      </c>
      <c r="H48" s="5">
        <v>480618.45</v>
      </c>
      <c r="I48" s="5">
        <v>15322.5675</v>
      </c>
      <c r="J48" s="5">
        <v>114137.475</v>
      </c>
      <c r="K48" s="5">
        <v>855959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7">
        <f t="shared" si="2"/>
        <v>1467298.7933</v>
      </c>
    </row>
    <row r="49" spans="1:18">
      <c r="A49" s="4" t="s">
        <v>24</v>
      </c>
      <c r="B49" s="4" t="s">
        <v>68</v>
      </c>
      <c r="C49" s="4" t="s">
        <v>73</v>
      </c>
      <c r="D49" s="5">
        <v>0.7186</v>
      </c>
      <c r="E49" s="5">
        <v>0</v>
      </c>
      <c r="F49" s="5">
        <v>0</v>
      </c>
      <c r="G49" s="5">
        <v>0</v>
      </c>
      <c r="H49" s="5">
        <v>10326.72</v>
      </c>
      <c r="I49" s="5">
        <v>361.803</v>
      </c>
      <c r="J49" s="5">
        <v>380.9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7">
        <f t="shared" si="2"/>
        <v>11070.1416</v>
      </c>
    </row>
    <row r="50" spans="1:18">
      <c r="A50" s="4" t="s">
        <v>24</v>
      </c>
      <c r="B50" s="4" t="s">
        <v>68</v>
      </c>
      <c r="C50" s="4" t="s">
        <v>74</v>
      </c>
      <c r="D50" s="5">
        <v>1690.5676</v>
      </c>
      <c r="E50" s="5">
        <v>0</v>
      </c>
      <c r="F50" s="5">
        <v>0</v>
      </c>
      <c r="G50" s="5">
        <v>0</v>
      </c>
      <c r="H50" s="5">
        <v>987798.6</v>
      </c>
      <c r="I50" s="5">
        <v>4945.6905</v>
      </c>
      <c r="J50" s="5">
        <v>90544.41</v>
      </c>
      <c r="K50" s="5">
        <v>507768.5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7">
        <f t="shared" si="2"/>
        <v>1592747.7681</v>
      </c>
    </row>
    <row r="51" spans="1:18">
      <c r="A51" s="4" t="s">
        <v>24</v>
      </c>
      <c r="B51" s="4" t="s">
        <v>68</v>
      </c>
      <c r="C51" s="4" t="s">
        <v>75</v>
      </c>
      <c r="D51" s="5">
        <v>70.2227</v>
      </c>
      <c r="E51" s="5">
        <v>0</v>
      </c>
      <c r="F51" s="5">
        <v>0</v>
      </c>
      <c r="G51" s="5">
        <v>0</v>
      </c>
      <c r="H51" s="5">
        <v>48875</v>
      </c>
      <c r="I51" s="5">
        <v>1504.3485</v>
      </c>
      <c r="J51" s="5">
        <v>2295.06</v>
      </c>
      <c r="K51" s="5">
        <v>20873.5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7">
        <f t="shared" si="2"/>
        <v>73618.1312</v>
      </c>
    </row>
    <row r="52" spans="1:18">
      <c r="A52" s="4" t="s">
        <v>24</v>
      </c>
      <c r="B52" s="4" t="s">
        <v>68</v>
      </c>
      <c r="C52" s="4" t="s">
        <v>76</v>
      </c>
      <c r="D52" s="5">
        <v>3261.7573</v>
      </c>
      <c r="E52" s="5">
        <v>0</v>
      </c>
      <c r="F52" s="5">
        <v>0</v>
      </c>
      <c r="G52" s="5">
        <v>79511.2</v>
      </c>
      <c r="H52" s="5">
        <v>1424541.5625</v>
      </c>
      <c r="I52" s="5">
        <v>7855.9575</v>
      </c>
      <c r="J52" s="5">
        <v>119051.5738</v>
      </c>
      <c r="K52" s="5">
        <v>311155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7">
        <f t="shared" si="2"/>
        <v>1945377.0511</v>
      </c>
    </row>
    <row r="53" spans="1:18">
      <c r="A53" s="4" t="s">
        <v>24</v>
      </c>
      <c r="B53" s="4" t="s">
        <v>68</v>
      </c>
      <c r="C53" s="4" t="s">
        <v>77</v>
      </c>
      <c r="D53" s="5">
        <v>3419.3899</v>
      </c>
      <c r="E53" s="5">
        <v>0</v>
      </c>
      <c r="F53" s="5">
        <v>0</v>
      </c>
      <c r="G53" s="5">
        <v>71814.8</v>
      </c>
      <c r="H53" s="5">
        <v>500820</v>
      </c>
      <c r="I53" s="5">
        <v>209.658</v>
      </c>
      <c r="J53" s="5">
        <v>104106.73</v>
      </c>
      <c r="K53" s="5">
        <v>220208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7">
        <f t="shared" si="2"/>
        <v>900578.5779</v>
      </c>
    </row>
    <row r="54" spans="1:18">
      <c r="A54" s="4" t="s">
        <v>24</v>
      </c>
      <c r="B54" s="4" t="s">
        <v>68</v>
      </c>
      <c r="C54" s="4" t="s">
        <v>78</v>
      </c>
      <c r="D54" s="5">
        <v>43.5632</v>
      </c>
      <c r="E54" s="5">
        <v>0</v>
      </c>
      <c r="F54" s="5">
        <v>0</v>
      </c>
      <c r="G54" s="5">
        <v>0</v>
      </c>
      <c r="H54" s="5">
        <v>63325</v>
      </c>
      <c r="I54" s="5">
        <v>3275.1435</v>
      </c>
      <c r="J54" s="5">
        <v>1391.333</v>
      </c>
      <c r="K54" s="5">
        <v>5057.5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7">
        <f t="shared" si="2"/>
        <v>73092.5397</v>
      </c>
    </row>
    <row r="55" spans="1:18">
      <c r="A55" s="4" t="s">
        <v>24</v>
      </c>
      <c r="B55" s="4" t="s">
        <v>68</v>
      </c>
      <c r="C55" s="4" t="s">
        <v>79</v>
      </c>
      <c r="D55" s="5">
        <v>199.9115</v>
      </c>
      <c r="E55" s="5">
        <v>0</v>
      </c>
      <c r="F55" s="5">
        <v>0</v>
      </c>
      <c r="G55" s="5">
        <v>0</v>
      </c>
      <c r="H55" s="5">
        <v>130243.68</v>
      </c>
      <c r="I55" s="5">
        <v>2821.413</v>
      </c>
      <c r="J55" s="5">
        <v>4538.46</v>
      </c>
      <c r="K55" s="5">
        <v>16469.5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7">
        <f t="shared" si="2"/>
        <v>154272.9645</v>
      </c>
    </row>
    <row r="56" spans="1:18">
      <c r="A56" s="4" t="s">
        <v>24</v>
      </c>
      <c r="B56" s="4" t="s">
        <v>68</v>
      </c>
      <c r="C56" s="4" t="s">
        <v>80</v>
      </c>
      <c r="D56" s="5">
        <v>10.1639</v>
      </c>
      <c r="E56" s="5">
        <v>0</v>
      </c>
      <c r="F56" s="5">
        <v>0</v>
      </c>
      <c r="G56" s="5">
        <v>0</v>
      </c>
      <c r="H56" s="5">
        <v>33257.28</v>
      </c>
      <c r="I56" s="5">
        <v>876.6165</v>
      </c>
      <c r="J56" s="5">
        <v>1176.29</v>
      </c>
      <c r="K56" s="5">
        <v>2789.5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7">
        <f t="shared" si="2"/>
        <v>38109.8504</v>
      </c>
    </row>
    <row r="57" spans="1:18">
      <c r="A57" s="4" t="s">
        <v>24</v>
      </c>
      <c r="B57" s="4" t="s">
        <v>68</v>
      </c>
      <c r="C57" s="4" t="s">
        <v>81</v>
      </c>
      <c r="D57" s="5">
        <v>260.0832</v>
      </c>
      <c r="E57" s="5">
        <v>0</v>
      </c>
      <c r="F57" s="5">
        <v>0</v>
      </c>
      <c r="G57" s="5">
        <v>0</v>
      </c>
      <c r="H57" s="5">
        <v>222870</v>
      </c>
      <c r="I57" s="5">
        <v>1993.077</v>
      </c>
      <c r="J57" s="5">
        <v>9726.18</v>
      </c>
      <c r="K57" s="5">
        <v>36357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7">
        <f t="shared" si="2"/>
        <v>271206.3402</v>
      </c>
    </row>
    <row r="58" spans="1:18">
      <c r="A58" s="4" t="s">
        <v>24</v>
      </c>
      <c r="B58" s="4" t="s">
        <v>68</v>
      </c>
      <c r="C58" s="4" t="s">
        <v>82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7">
        <f t="shared" si="2"/>
        <v>0</v>
      </c>
    </row>
    <row r="59" spans="1:18">
      <c r="A59" s="4" t="s">
        <v>24</v>
      </c>
      <c r="B59" s="4" t="s">
        <v>68</v>
      </c>
      <c r="C59" s="4" t="s">
        <v>83</v>
      </c>
      <c r="D59" s="5">
        <v>3416.1589</v>
      </c>
      <c r="E59" s="5">
        <v>0</v>
      </c>
      <c r="F59" s="5">
        <v>0</v>
      </c>
      <c r="G59" s="5">
        <v>69791.2</v>
      </c>
      <c r="H59" s="5">
        <v>786711.9876</v>
      </c>
      <c r="I59" s="5">
        <v>1074.012</v>
      </c>
      <c r="J59" s="5">
        <v>0</v>
      </c>
      <c r="K59" s="5">
        <v>373096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7">
        <f t="shared" si="2"/>
        <v>1234089.3585</v>
      </c>
    </row>
    <row r="60" spans="1:18">
      <c r="A60" s="4" t="s">
        <v>24</v>
      </c>
      <c r="B60" s="4" t="s">
        <v>68</v>
      </c>
      <c r="C60" s="4" t="s">
        <v>84</v>
      </c>
      <c r="D60" s="5">
        <v>3687.9458</v>
      </c>
      <c r="E60" s="5">
        <v>0</v>
      </c>
      <c r="F60" s="5">
        <v>0</v>
      </c>
      <c r="G60" s="5">
        <v>37420</v>
      </c>
      <c r="H60" s="5">
        <v>537816.72</v>
      </c>
      <c r="I60" s="5">
        <v>2422.2555</v>
      </c>
      <c r="J60" s="5">
        <v>136827.18</v>
      </c>
      <c r="K60" s="5">
        <v>303561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7">
        <f t="shared" si="2"/>
        <v>1021735.1013</v>
      </c>
    </row>
    <row r="61" spans="1:18">
      <c r="A61" s="4" t="s">
        <v>24</v>
      </c>
      <c r="B61" s="4" t="s">
        <v>68</v>
      </c>
      <c r="C61" s="4" t="s">
        <v>85</v>
      </c>
      <c r="D61" s="5">
        <v>11.8282</v>
      </c>
      <c r="E61" s="5">
        <v>0</v>
      </c>
      <c r="F61" s="5">
        <v>0</v>
      </c>
      <c r="G61" s="5">
        <v>0</v>
      </c>
      <c r="H61" s="5">
        <v>60779.1678</v>
      </c>
      <c r="I61" s="5">
        <v>569.3475</v>
      </c>
      <c r="J61" s="5">
        <v>1283.0316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7">
        <f t="shared" si="2"/>
        <v>62643.3751</v>
      </c>
    </row>
    <row r="62" spans="1:18">
      <c r="A62" s="4" t="s">
        <v>24</v>
      </c>
      <c r="B62" s="4" t="s">
        <v>68</v>
      </c>
      <c r="C62" s="4" t="s">
        <v>86</v>
      </c>
      <c r="D62" s="5">
        <v>260.5865</v>
      </c>
      <c r="E62" s="5">
        <v>0</v>
      </c>
      <c r="F62" s="5">
        <v>0</v>
      </c>
      <c r="G62" s="5">
        <v>0</v>
      </c>
      <c r="H62" s="5">
        <v>194721.56</v>
      </c>
      <c r="I62" s="5">
        <v>17713.9485</v>
      </c>
      <c r="J62" s="5">
        <v>11199.73</v>
      </c>
      <c r="K62" s="5">
        <v>20719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7">
        <f t="shared" si="2"/>
        <v>244614.825</v>
      </c>
    </row>
    <row r="63" spans="1:18">
      <c r="A63" s="4" t="s">
        <v>24</v>
      </c>
      <c r="B63" s="4" t="s">
        <v>68</v>
      </c>
      <c r="C63" s="4" t="s">
        <v>87</v>
      </c>
      <c r="D63" s="5">
        <v>3463.0504</v>
      </c>
      <c r="E63" s="5">
        <v>0</v>
      </c>
      <c r="F63" s="5">
        <v>0</v>
      </c>
      <c r="G63" s="5">
        <v>0</v>
      </c>
      <c r="H63" s="5">
        <v>657782.5912</v>
      </c>
      <c r="I63" s="5">
        <v>7494.6165</v>
      </c>
      <c r="J63" s="5">
        <v>133793.9887</v>
      </c>
      <c r="K63" s="5">
        <v>311407.5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7">
        <f t="shared" si="2"/>
        <v>1113941.7468</v>
      </c>
    </row>
    <row r="64" spans="1:18">
      <c r="A64" s="4" t="s">
        <v>24</v>
      </c>
      <c r="B64" s="4" t="s">
        <v>68</v>
      </c>
      <c r="C64" s="4" t="s">
        <v>88</v>
      </c>
      <c r="D64" s="5">
        <v>170.7624</v>
      </c>
      <c r="E64" s="5">
        <v>0</v>
      </c>
      <c r="F64" s="5">
        <v>0</v>
      </c>
      <c r="G64" s="5">
        <v>0</v>
      </c>
      <c r="H64" s="5">
        <v>101772</v>
      </c>
      <c r="I64" s="5">
        <v>544.473</v>
      </c>
      <c r="J64" s="5">
        <v>3856.338</v>
      </c>
      <c r="K64" s="5">
        <v>12438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7">
        <f t="shared" si="2"/>
        <v>118781.5734</v>
      </c>
    </row>
    <row r="65" spans="1:18">
      <c r="A65" s="4" t="s">
        <v>24</v>
      </c>
      <c r="B65" s="4" t="s">
        <v>68</v>
      </c>
      <c r="C65" s="4" t="s">
        <v>89</v>
      </c>
      <c r="D65" s="5">
        <v>21.5903</v>
      </c>
      <c r="E65" s="5">
        <v>0</v>
      </c>
      <c r="F65" s="5">
        <v>0</v>
      </c>
      <c r="G65" s="5">
        <v>0</v>
      </c>
      <c r="H65" s="5">
        <v>28915.26</v>
      </c>
      <c r="I65" s="5">
        <v>1998.333</v>
      </c>
      <c r="J65" s="5">
        <v>551.46</v>
      </c>
      <c r="K65" s="5">
        <v>3179.5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7">
        <f t="shared" si="2"/>
        <v>34666.1433</v>
      </c>
    </row>
    <row r="66" spans="1:18">
      <c r="A66" s="4" t="s">
        <v>24</v>
      </c>
      <c r="B66" s="4" t="s">
        <v>68</v>
      </c>
      <c r="C66" s="4" t="s">
        <v>90</v>
      </c>
      <c r="D66" s="5">
        <v>273.4057</v>
      </c>
      <c r="E66" s="5">
        <v>0</v>
      </c>
      <c r="F66" s="5">
        <v>0</v>
      </c>
      <c r="G66" s="5">
        <v>0</v>
      </c>
      <c r="H66" s="5">
        <v>120657.4</v>
      </c>
      <c r="I66" s="5">
        <v>1122.8565</v>
      </c>
      <c r="J66" s="5">
        <v>13769.36</v>
      </c>
      <c r="K66" s="5">
        <v>34336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7">
        <f t="shared" si="2"/>
        <v>170159.0222</v>
      </c>
    </row>
    <row r="67" spans="1:18">
      <c r="A67" s="4" t="s">
        <v>24</v>
      </c>
      <c r="B67" s="4" t="s">
        <v>68</v>
      </c>
      <c r="C67" s="4" t="s">
        <v>91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7">
        <f t="shared" si="2"/>
        <v>0</v>
      </c>
    </row>
    <row r="68" spans="1:18">
      <c r="A68" s="4" t="s">
        <v>24</v>
      </c>
      <c r="B68" s="4" t="s">
        <v>92</v>
      </c>
      <c r="C68" s="4" t="s">
        <v>93</v>
      </c>
      <c r="D68" s="5">
        <v>4.3414</v>
      </c>
      <c r="E68" s="5">
        <v>0</v>
      </c>
      <c r="F68" s="5">
        <v>0</v>
      </c>
      <c r="G68" s="5">
        <v>0</v>
      </c>
      <c r="H68" s="5">
        <v>0</v>
      </c>
      <c r="I68" s="5">
        <v>7190.349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7">
        <f t="shared" si="2"/>
        <v>7194.6904</v>
      </c>
    </row>
    <row r="69" spans="1:18">
      <c r="A69" s="4" t="s">
        <v>24</v>
      </c>
      <c r="B69" s="4" t="s">
        <v>92</v>
      </c>
      <c r="C69" s="4" t="s">
        <v>94</v>
      </c>
      <c r="D69" s="5">
        <v>4.2811</v>
      </c>
      <c r="E69" s="5">
        <v>0</v>
      </c>
      <c r="F69" s="5">
        <v>0</v>
      </c>
      <c r="G69" s="5">
        <v>4365.6</v>
      </c>
      <c r="H69" s="5">
        <v>0</v>
      </c>
      <c r="I69" s="5">
        <v>0</v>
      </c>
      <c r="J69" s="5">
        <v>8942.4021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7">
        <f t="shared" si="2"/>
        <v>13312.2832</v>
      </c>
    </row>
    <row r="70" spans="1:18">
      <c r="A70" s="4" t="s">
        <v>24</v>
      </c>
      <c r="B70" s="4" t="s">
        <v>92</v>
      </c>
      <c r="C70" s="4" t="s">
        <v>95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39395.421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7">
        <f t="shared" ref="R70:R101" si="3">SUM(D70:Q70)</f>
        <v>39395.421</v>
      </c>
    </row>
    <row r="71" spans="1:18">
      <c r="A71" s="4" t="s">
        <v>24</v>
      </c>
      <c r="B71" s="4" t="s">
        <v>92</v>
      </c>
      <c r="C71" s="4" t="s">
        <v>96</v>
      </c>
      <c r="D71" s="5">
        <v>1.147</v>
      </c>
      <c r="E71" s="5">
        <v>0</v>
      </c>
      <c r="F71" s="5">
        <v>0</v>
      </c>
      <c r="G71" s="5">
        <v>0</v>
      </c>
      <c r="H71" s="5">
        <v>0</v>
      </c>
      <c r="I71" s="5">
        <v>11516.7435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7">
        <f t="shared" si="3"/>
        <v>11517.8905</v>
      </c>
    </row>
    <row r="72" spans="1:18">
      <c r="A72" s="4" t="s">
        <v>24</v>
      </c>
      <c r="B72" s="4" t="s">
        <v>92</v>
      </c>
      <c r="C72" s="4" t="s">
        <v>97</v>
      </c>
      <c r="D72" s="5">
        <v>4.8814</v>
      </c>
      <c r="E72" s="5">
        <v>539.1637</v>
      </c>
      <c r="F72" s="5">
        <v>0</v>
      </c>
      <c r="G72" s="5">
        <v>0</v>
      </c>
      <c r="H72" s="5">
        <v>0</v>
      </c>
      <c r="I72" s="5">
        <v>12.474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7">
        <f t="shared" si="3"/>
        <v>556.5191</v>
      </c>
    </row>
    <row r="73" spans="1:18">
      <c r="A73" s="4" t="s">
        <v>24</v>
      </c>
      <c r="B73" s="4" t="s">
        <v>92</v>
      </c>
      <c r="C73" s="4" t="s">
        <v>98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304.812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7">
        <f t="shared" si="3"/>
        <v>304.812</v>
      </c>
    </row>
    <row r="74" spans="1:18">
      <c r="A74" s="4" t="s">
        <v>24</v>
      </c>
      <c r="B74" s="4" t="s">
        <v>92</v>
      </c>
      <c r="C74" s="4" t="s">
        <v>99</v>
      </c>
      <c r="D74" s="5">
        <v>32.3602</v>
      </c>
      <c r="E74" s="5">
        <v>37.152</v>
      </c>
      <c r="F74" s="5">
        <v>0</v>
      </c>
      <c r="G74" s="5">
        <v>30605.2</v>
      </c>
      <c r="H74" s="5">
        <v>0</v>
      </c>
      <c r="I74" s="5">
        <v>351.282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7">
        <f t="shared" si="3"/>
        <v>31025.9942</v>
      </c>
    </row>
    <row r="75" spans="1:18">
      <c r="A75" s="4" t="s">
        <v>24</v>
      </c>
      <c r="B75" s="4" t="s">
        <v>92</v>
      </c>
      <c r="C75" s="4" t="s">
        <v>100</v>
      </c>
      <c r="D75" s="5">
        <v>2.146</v>
      </c>
      <c r="E75" s="5">
        <v>0</v>
      </c>
      <c r="F75" s="5">
        <v>0</v>
      </c>
      <c r="G75" s="5">
        <v>0</v>
      </c>
      <c r="H75" s="5">
        <v>0</v>
      </c>
      <c r="I75" s="5">
        <v>80.184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7">
        <f t="shared" si="3"/>
        <v>82.33</v>
      </c>
    </row>
    <row r="76" spans="1:18">
      <c r="A76" s="4" t="s">
        <v>24</v>
      </c>
      <c r="B76" s="4" t="s">
        <v>92</v>
      </c>
      <c r="C76" s="4" t="s">
        <v>101</v>
      </c>
      <c r="D76" s="5">
        <v>10.1707</v>
      </c>
      <c r="E76" s="5">
        <v>0</v>
      </c>
      <c r="F76" s="5">
        <v>0</v>
      </c>
      <c r="G76" s="5">
        <v>7263.6</v>
      </c>
      <c r="H76" s="5">
        <v>0</v>
      </c>
      <c r="I76" s="5">
        <v>16910.586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7">
        <f t="shared" si="3"/>
        <v>24184.3567</v>
      </c>
    </row>
    <row r="77" spans="1:18">
      <c r="A77" s="4" t="s">
        <v>24</v>
      </c>
      <c r="B77" s="4" t="s">
        <v>92</v>
      </c>
      <c r="C77" s="4" t="s">
        <v>102</v>
      </c>
      <c r="D77" s="5">
        <v>10.8209</v>
      </c>
      <c r="E77" s="5">
        <v>1964.844</v>
      </c>
      <c r="F77" s="5">
        <v>0</v>
      </c>
      <c r="G77" s="5">
        <v>14821.6</v>
      </c>
      <c r="H77" s="5">
        <v>0</v>
      </c>
      <c r="I77" s="5">
        <v>6327.966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7">
        <f t="shared" si="3"/>
        <v>23125.2309</v>
      </c>
    </row>
    <row r="78" spans="1:18">
      <c r="A78" s="4" t="s">
        <v>24</v>
      </c>
      <c r="B78" s="4" t="s">
        <v>92</v>
      </c>
      <c r="C78" s="4" t="s">
        <v>103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2460.1035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7">
        <f t="shared" si="3"/>
        <v>2460.1035</v>
      </c>
    </row>
    <row r="79" spans="1:18">
      <c r="A79" s="4" t="s">
        <v>24</v>
      </c>
      <c r="B79" s="4" t="s">
        <v>92</v>
      </c>
      <c r="C79" s="4" t="s">
        <v>104</v>
      </c>
      <c r="D79" s="5">
        <v>2.2811</v>
      </c>
      <c r="E79" s="5">
        <v>0</v>
      </c>
      <c r="F79" s="5">
        <v>0</v>
      </c>
      <c r="G79" s="5">
        <v>0</v>
      </c>
      <c r="H79" s="5">
        <v>0</v>
      </c>
      <c r="I79" s="5">
        <v>82.68</v>
      </c>
      <c r="J79" s="5">
        <v>19939.2357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7">
        <f t="shared" si="3"/>
        <v>20024.1968</v>
      </c>
    </row>
    <row r="80" spans="1:18">
      <c r="A80" s="4" t="s">
        <v>24</v>
      </c>
      <c r="B80" s="4" t="s">
        <v>92</v>
      </c>
      <c r="C80" s="4" t="s">
        <v>105</v>
      </c>
      <c r="D80" s="5">
        <v>4.6015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7">
        <f t="shared" si="3"/>
        <v>4.6015</v>
      </c>
    </row>
    <row r="81" spans="1:18">
      <c r="A81" s="4" t="s">
        <v>24</v>
      </c>
      <c r="B81" s="4" t="s">
        <v>92</v>
      </c>
      <c r="C81" s="4" t="s">
        <v>106</v>
      </c>
      <c r="D81" s="5">
        <v>26.6996</v>
      </c>
      <c r="E81" s="5">
        <v>133.3584</v>
      </c>
      <c r="F81" s="5">
        <v>0</v>
      </c>
      <c r="G81" s="5">
        <v>26069.6</v>
      </c>
      <c r="H81" s="5">
        <v>0</v>
      </c>
      <c r="I81" s="5">
        <v>91591.974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7">
        <f t="shared" si="3"/>
        <v>117821.632</v>
      </c>
    </row>
    <row r="82" spans="1:18">
      <c r="A82" s="4" t="s">
        <v>24</v>
      </c>
      <c r="B82" s="4" t="s">
        <v>92</v>
      </c>
      <c r="C82" s="4" t="s">
        <v>107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68191.7265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7">
        <f t="shared" si="3"/>
        <v>68191.7265</v>
      </c>
    </row>
    <row r="83" spans="1:18">
      <c r="A83" s="4" t="s">
        <v>24</v>
      </c>
      <c r="B83" s="4" t="s">
        <v>92</v>
      </c>
      <c r="C83" s="4" t="s">
        <v>108</v>
      </c>
      <c r="D83" s="5">
        <v>12.4375</v>
      </c>
      <c r="E83" s="5">
        <v>44.352</v>
      </c>
      <c r="F83" s="5">
        <v>0</v>
      </c>
      <c r="G83" s="5">
        <v>0</v>
      </c>
      <c r="H83" s="5">
        <v>0</v>
      </c>
      <c r="I83" s="5">
        <v>377.298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7">
        <f t="shared" si="3"/>
        <v>434.0875</v>
      </c>
    </row>
    <row r="84" spans="1:18">
      <c r="A84" s="4" t="s">
        <v>24</v>
      </c>
      <c r="B84" s="4" t="s">
        <v>92</v>
      </c>
      <c r="C84" s="4" t="s">
        <v>109</v>
      </c>
      <c r="D84" s="5">
        <v>1.1171</v>
      </c>
      <c r="E84" s="5">
        <v>0</v>
      </c>
      <c r="F84" s="5">
        <v>0</v>
      </c>
      <c r="G84" s="5">
        <v>0</v>
      </c>
      <c r="H84" s="5">
        <v>0</v>
      </c>
      <c r="I84" s="5">
        <v>3676.269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7">
        <f t="shared" si="3"/>
        <v>3677.3861</v>
      </c>
    </row>
    <row r="85" spans="1:18">
      <c r="A85" s="4" t="s">
        <v>24</v>
      </c>
      <c r="B85" s="4" t="s">
        <v>92</v>
      </c>
      <c r="C85" s="4" t="s">
        <v>110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89.427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7">
        <f t="shared" si="3"/>
        <v>89.427</v>
      </c>
    </row>
    <row r="86" spans="1:18">
      <c r="A86" s="4" t="s">
        <v>24</v>
      </c>
      <c r="B86" s="4" t="s">
        <v>92</v>
      </c>
      <c r="C86" s="4" t="s">
        <v>111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13.347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7">
        <f t="shared" si="3"/>
        <v>13.347</v>
      </c>
    </row>
    <row r="87" spans="1:18">
      <c r="A87" s="4" t="s">
        <v>24</v>
      </c>
      <c r="B87" s="4" t="s">
        <v>92</v>
      </c>
      <c r="C87" s="4" t="s">
        <v>112</v>
      </c>
      <c r="D87" s="5">
        <v>3.2368</v>
      </c>
      <c r="E87" s="5">
        <v>0</v>
      </c>
      <c r="F87" s="5">
        <v>0</v>
      </c>
      <c r="G87" s="5">
        <v>2684</v>
      </c>
      <c r="H87" s="5">
        <v>0</v>
      </c>
      <c r="I87" s="5">
        <v>513.57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7">
        <f t="shared" si="3"/>
        <v>3200.8068</v>
      </c>
    </row>
    <row r="88" spans="1:18">
      <c r="A88" s="4" t="s">
        <v>24</v>
      </c>
      <c r="B88" s="4" t="s">
        <v>92</v>
      </c>
      <c r="C88" s="4" t="s">
        <v>113</v>
      </c>
      <c r="D88" s="5">
        <v>9.6938</v>
      </c>
      <c r="E88" s="5">
        <v>0</v>
      </c>
      <c r="F88" s="5">
        <v>0</v>
      </c>
      <c r="G88" s="5">
        <v>0</v>
      </c>
      <c r="H88" s="5">
        <v>0</v>
      </c>
      <c r="I88" s="5">
        <v>578.991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7">
        <f t="shared" si="3"/>
        <v>588.6848</v>
      </c>
    </row>
    <row r="89" spans="1:18">
      <c r="A89" s="4" t="s">
        <v>24</v>
      </c>
      <c r="B89" s="4" t="s">
        <v>92</v>
      </c>
      <c r="C89" s="4" t="s">
        <v>114</v>
      </c>
      <c r="D89" s="5">
        <v>4.6068</v>
      </c>
      <c r="E89" s="5">
        <v>0</v>
      </c>
      <c r="F89" s="5">
        <v>0</v>
      </c>
      <c r="G89" s="5">
        <v>0</v>
      </c>
      <c r="H89" s="5">
        <v>0</v>
      </c>
      <c r="I89" s="5">
        <v>550.1385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7">
        <f t="shared" si="3"/>
        <v>554.7453</v>
      </c>
    </row>
    <row r="90" spans="1:18">
      <c r="A90" s="4" t="s">
        <v>24</v>
      </c>
      <c r="B90" s="4" t="s">
        <v>92</v>
      </c>
      <c r="C90" s="4" t="s">
        <v>115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488.226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7">
        <f t="shared" si="3"/>
        <v>488.226</v>
      </c>
    </row>
    <row r="91" spans="1:18">
      <c r="A91" s="4" t="s">
        <v>24</v>
      </c>
      <c r="B91" s="4" t="s">
        <v>92</v>
      </c>
      <c r="C91" s="4" t="s">
        <v>116</v>
      </c>
      <c r="D91" s="5">
        <v>2.9816</v>
      </c>
      <c r="E91" s="5">
        <v>0</v>
      </c>
      <c r="F91" s="5">
        <v>0</v>
      </c>
      <c r="G91" s="5">
        <v>2660.8</v>
      </c>
      <c r="H91" s="5">
        <v>0</v>
      </c>
      <c r="I91" s="5">
        <v>10.0035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7">
        <f t="shared" si="3"/>
        <v>2673.7851</v>
      </c>
    </row>
    <row r="92" spans="1:18">
      <c r="A92" s="4" t="s">
        <v>24</v>
      </c>
      <c r="B92" s="4" t="s">
        <v>92</v>
      </c>
      <c r="C92" s="4" t="s">
        <v>117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405.7545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7">
        <f t="shared" si="3"/>
        <v>405.7545</v>
      </c>
    </row>
    <row r="93" spans="1:18">
      <c r="A93" s="4" t="s">
        <v>24</v>
      </c>
      <c r="B93" s="4" t="s">
        <v>92</v>
      </c>
      <c r="C93" s="4" t="s">
        <v>118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1682.2305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7">
        <f t="shared" si="3"/>
        <v>1682.2305</v>
      </c>
    </row>
    <row r="94" spans="1:18">
      <c r="A94" s="4" t="s">
        <v>24</v>
      </c>
      <c r="B94" s="4" t="s">
        <v>92</v>
      </c>
      <c r="C94" s="4" t="s">
        <v>119</v>
      </c>
      <c r="D94" s="5">
        <v>8.3884</v>
      </c>
      <c r="E94" s="5">
        <v>91.4285</v>
      </c>
      <c r="F94" s="5">
        <v>0</v>
      </c>
      <c r="G94" s="5">
        <v>0</v>
      </c>
      <c r="H94" s="5">
        <v>0</v>
      </c>
      <c r="I94" s="5">
        <v>185189.739</v>
      </c>
      <c r="J94" s="5">
        <v>33186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7">
        <f t="shared" si="3"/>
        <v>218475.5559</v>
      </c>
    </row>
    <row r="95" spans="1:18">
      <c r="A95" s="4" t="s">
        <v>24</v>
      </c>
      <c r="B95" s="4" t="s">
        <v>92</v>
      </c>
      <c r="C95" s="4" t="s">
        <v>120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215.1855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7">
        <f t="shared" si="3"/>
        <v>215.1855</v>
      </c>
    </row>
    <row r="96" spans="1:18">
      <c r="A96" s="4" t="s">
        <v>24</v>
      </c>
      <c r="B96" s="4" t="s">
        <v>92</v>
      </c>
      <c r="C96" s="4" t="s">
        <v>121</v>
      </c>
      <c r="D96" s="5">
        <v>12.4008</v>
      </c>
      <c r="E96" s="5">
        <v>31.68</v>
      </c>
      <c r="F96" s="5">
        <v>0</v>
      </c>
      <c r="G96" s="5">
        <v>17462.4</v>
      </c>
      <c r="H96" s="5">
        <v>0</v>
      </c>
      <c r="I96" s="5">
        <v>4479.5535</v>
      </c>
      <c r="J96" s="5">
        <v>15265.8625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7">
        <f t="shared" si="3"/>
        <v>37251.8968</v>
      </c>
    </row>
    <row r="97" spans="1:18">
      <c r="A97" s="4" t="s">
        <v>24</v>
      </c>
      <c r="B97" s="4" t="s">
        <v>92</v>
      </c>
      <c r="C97" s="4" t="s">
        <v>122</v>
      </c>
      <c r="D97" s="5">
        <v>8.9471</v>
      </c>
      <c r="E97" s="5">
        <v>8.5914</v>
      </c>
      <c r="F97" s="5">
        <v>0</v>
      </c>
      <c r="G97" s="5">
        <v>6479.2</v>
      </c>
      <c r="H97" s="5">
        <v>0</v>
      </c>
      <c r="I97" s="5">
        <v>47936.9085</v>
      </c>
      <c r="J97" s="5">
        <v>17287.7532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7">
        <f t="shared" si="3"/>
        <v>71721.4002</v>
      </c>
    </row>
    <row r="98" spans="1:18">
      <c r="A98" s="4" t="s">
        <v>24</v>
      </c>
      <c r="B98" s="4" t="s">
        <v>92</v>
      </c>
      <c r="C98" s="4" t="s">
        <v>123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7">
        <f t="shared" si="3"/>
        <v>0</v>
      </c>
    </row>
    <row r="99" spans="1:18">
      <c r="A99" s="4" t="s">
        <v>24</v>
      </c>
      <c r="B99" s="4" t="s">
        <v>92</v>
      </c>
      <c r="C99" s="4" t="s">
        <v>124</v>
      </c>
      <c r="D99" s="5">
        <v>7.4398</v>
      </c>
      <c r="E99" s="5">
        <v>0</v>
      </c>
      <c r="F99" s="5">
        <v>0</v>
      </c>
      <c r="G99" s="5">
        <v>5400</v>
      </c>
      <c r="H99" s="5">
        <v>0</v>
      </c>
      <c r="I99" s="5">
        <v>54.3075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7">
        <f t="shared" si="3"/>
        <v>5461.7473</v>
      </c>
    </row>
    <row r="100" spans="1:18">
      <c r="A100" s="4" t="s">
        <v>24</v>
      </c>
      <c r="B100" s="4" t="s">
        <v>92</v>
      </c>
      <c r="C100" s="4" t="s">
        <v>125</v>
      </c>
      <c r="D100" s="5">
        <v>8.2202</v>
      </c>
      <c r="E100" s="5">
        <v>0</v>
      </c>
      <c r="F100" s="5">
        <v>0</v>
      </c>
      <c r="G100" s="5">
        <v>13096.8</v>
      </c>
      <c r="H100" s="5">
        <v>0</v>
      </c>
      <c r="I100" s="5">
        <v>26374.7175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7">
        <f t="shared" si="3"/>
        <v>39479.7377</v>
      </c>
    </row>
    <row r="101" spans="1:18">
      <c r="A101" s="4" t="s">
        <v>24</v>
      </c>
      <c r="B101" s="4" t="s">
        <v>92</v>
      </c>
      <c r="C101" s="4" t="s">
        <v>126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248.535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7">
        <f t="shared" si="3"/>
        <v>248.535</v>
      </c>
    </row>
    <row r="102" spans="1:18">
      <c r="A102" s="4" t="s">
        <v>24</v>
      </c>
      <c r="B102" s="4" t="s">
        <v>92</v>
      </c>
      <c r="C102" s="4" t="s">
        <v>127</v>
      </c>
      <c r="D102" s="5">
        <v>5.5081</v>
      </c>
      <c r="E102" s="5">
        <v>0</v>
      </c>
      <c r="F102" s="5">
        <v>0</v>
      </c>
      <c r="G102" s="5">
        <v>4390</v>
      </c>
      <c r="H102" s="5">
        <v>0</v>
      </c>
      <c r="I102" s="5">
        <v>124.6275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7">
        <f t="shared" ref="R102:R133" si="4">SUM(D102:Q102)</f>
        <v>4520.1356</v>
      </c>
    </row>
    <row r="103" spans="1:18">
      <c r="A103" s="4" t="s">
        <v>24</v>
      </c>
      <c r="B103" s="4" t="s">
        <v>92</v>
      </c>
      <c r="C103" s="4" t="s">
        <v>128</v>
      </c>
      <c r="D103" s="5">
        <v>18.6546</v>
      </c>
      <c r="E103" s="5">
        <v>45.954</v>
      </c>
      <c r="F103" s="5">
        <v>0</v>
      </c>
      <c r="G103" s="5">
        <v>8384.8</v>
      </c>
      <c r="H103" s="5">
        <v>0</v>
      </c>
      <c r="I103" s="5">
        <v>101.8965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7">
        <f t="shared" si="4"/>
        <v>8551.3051</v>
      </c>
    </row>
    <row r="104" spans="1:18">
      <c r="A104" s="4" t="s">
        <v>24</v>
      </c>
      <c r="B104" s="4" t="s">
        <v>92</v>
      </c>
      <c r="C104" s="4" t="s">
        <v>129</v>
      </c>
      <c r="D104" s="5">
        <v>6.3191</v>
      </c>
      <c r="E104" s="5">
        <v>28.3565</v>
      </c>
      <c r="F104" s="5">
        <v>0</v>
      </c>
      <c r="G104" s="5">
        <v>6237.6</v>
      </c>
      <c r="H104" s="5">
        <v>0</v>
      </c>
      <c r="I104" s="5">
        <v>51886.3515</v>
      </c>
      <c r="J104" s="5">
        <v>8287.6267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7">
        <f t="shared" si="4"/>
        <v>66446.2538</v>
      </c>
    </row>
    <row r="105" spans="1:18">
      <c r="A105" s="4" t="s">
        <v>24</v>
      </c>
      <c r="B105" s="4" t="s">
        <v>92</v>
      </c>
      <c r="C105" s="4" t="s">
        <v>130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1277.6445</v>
      </c>
      <c r="J105" s="5">
        <v>15944.6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7">
        <f t="shared" si="4"/>
        <v>17222.2445</v>
      </c>
    </row>
    <row r="106" spans="1:18">
      <c r="A106" s="4" t="s">
        <v>24</v>
      </c>
      <c r="B106" s="4" t="s">
        <v>92</v>
      </c>
      <c r="C106" s="4" t="s">
        <v>131</v>
      </c>
      <c r="D106" s="5">
        <v>0.4345</v>
      </c>
      <c r="E106" s="5">
        <v>652.7232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7">
        <f t="shared" si="4"/>
        <v>653.1577</v>
      </c>
    </row>
    <row r="107" spans="1:18">
      <c r="A107" s="4" t="s">
        <v>24</v>
      </c>
      <c r="B107" s="4" t="s">
        <v>92</v>
      </c>
      <c r="C107" s="4" t="s">
        <v>132</v>
      </c>
      <c r="D107" s="5">
        <v>1.7627</v>
      </c>
      <c r="E107" s="5">
        <v>259.2</v>
      </c>
      <c r="F107" s="5">
        <v>0</v>
      </c>
      <c r="G107" s="5">
        <v>0</v>
      </c>
      <c r="H107" s="5">
        <v>0</v>
      </c>
      <c r="I107" s="5">
        <v>159.48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7">
        <f t="shared" si="4"/>
        <v>420.4427</v>
      </c>
    </row>
    <row r="108" spans="1:18">
      <c r="A108" s="4" t="s">
        <v>24</v>
      </c>
      <c r="B108" s="4" t="s">
        <v>92</v>
      </c>
      <c r="C108" s="4" t="s">
        <v>133</v>
      </c>
      <c r="D108" s="5">
        <v>5.3494</v>
      </c>
      <c r="E108" s="5">
        <v>0.5983</v>
      </c>
      <c r="F108" s="5">
        <v>0</v>
      </c>
      <c r="G108" s="5">
        <v>4768</v>
      </c>
      <c r="H108" s="5">
        <v>0</v>
      </c>
      <c r="I108" s="5">
        <v>243.702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7">
        <f t="shared" si="4"/>
        <v>5017.6497</v>
      </c>
    </row>
    <row r="109" spans="1:18">
      <c r="A109" s="4" t="s">
        <v>24</v>
      </c>
      <c r="B109" s="4" t="s">
        <v>92</v>
      </c>
      <c r="C109" s="4" t="s">
        <v>134</v>
      </c>
      <c r="D109" s="5">
        <v>3.9425</v>
      </c>
      <c r="E109" s="5">
        <v>44.5939</v>
      </c>
      <c r="F109" s="5">
        <v>0</v>
      </c>
      <c r="G109" s="5">
        <v>0</v>
      </c>
      <c r="H109" s="5">
        <v>0</v>
      </c>
      <c r="I109" s="5">
        <v>32.1465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7">
        <f t="shared" si="4"/>
        <v>80.6829</v>
      </c>
    </row>
    <row r="110" spans="1:18">
      <c r="A110" s="4" t="s">
        <v>24</v>
      </c>
      <c r="B110" s="4" t="s">
        <v>92</v>
      </c>
      <c r="C110" s="4" t="s">
        <v>135</v>
      </c>
      <c r="D110" s="5">
        <v>6.1972</v>
      </c>
      <c r="E110" s="5">
        <v>0</v>
      </c>
      <c r="F110" s="5">
        <v>0</v>
      </c>
      <c r="G110" s="5">
        <v>0</v>
      </c>
      <c r="H110" s="5">
        <v>0</v>
      </c>
      <c r="I110" s="5">
        <v>153.792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7">
        <f t="shared" si="4"/>
        <v>159.9892</v>
      </c>
    </row>
    <row r="111" spans="1:18">
      <c r="A111" s="4" t="s">
        <v>24</v>
      </c>
      <c r="B111" s="4" t="s">
        <v>92</v>
      </c>
      <c r="C111" s="4" t="s">
        <v>136</v>
      </c>
      <c r="D111" s="5">
        <v>4.5557</v>
      </c>
      <c r="E111" s="5">
        <v>0</v>
      </c>
      <c r="F111" s="5">
        <v>0</v>
      </c>
      <c r="G111" s="5">
        <v>3400.8</v>
      </c>
      <c r="H111" s="5">
        <v>0</v>
      </c>
      <c r="I111" s="5">
        <v>32214.669</v>
      </c>
      <c r="J111" s="5">
        <v>7583.6043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7">
        <f t="shared" si="4"/>
        <v>43203.629</v>
      </c>
    </row>
    <row r="112" spans="1:18">
      <c r="A112" s="4" t="s">
        <v>24</v>
      </c>
      <c r="B112" s="4" t="s">
        <v>92</v>
      </c>
      <c r="C112" s="4" t="s">
        <v>137</v>
      </c>
      <c r="D112" s="5">
        <v>1.3786</v>
      </c>
      <c r="E112" s="5">
        <v>0</v>
      </c>
      <c r="F112" s="5">
        <v>0</v>
      </c>
      <c r="G112" s="5">
        <v>0</v>
      </c>
      <c r="H112" s="5">
        <v>0</v>
      </c>
      <c r="I112" s="5">
        <v>89.097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7">
        <f t="shared" si="4"/>
        <v>90.4756</v>
      </c>
    </row>
    <row r="113" spans="1:18">
      <c r="A113" s="4" t="s">
        <v>24</v>
      </c>
      <c r="B113" s="4" t="s">
        <v>92</v>
      </c>
      <c r="C113" s="4" t="s">
        <v>138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2210.001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7">
        <f t="shared" si="4"/>
        <v>2210.001</v>
      </c>
    </row>
    <row r="114" spans="1:18">
      <c r="A114" s="4" t="s">
        <v>24</v>
      </c>
      <c r="B114" s="4" t="s">
        <v>92</v>
      </c>
      <c r="C114" s="4" t="s">
        <v>139</v>
      </c>
      <c r="D114" s="5">
        <v>0.2088</v>
      </c>
      <c r="E114" s="5">
        <v>0</v>
      </c>
      <c r="F114" s="5">
        <v>0</v>
      </c>
      <c r="G114" s="5">
        <v>0</v>
      </c>
      <c r="H114" s="5">
        <v>0</v>
      </c>
      <c r="I114" s="5">
        <v>44.802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7">
        <f t="shared" si="4"/>
        <v>45.0108</v>
      </c>
    </row>
    <row r="115" spans="1:18">
      <c r="A115" s="4" t="s">
        <v>24</v>
      </c>
      <c r="B115" s="4" t="s">
        <v>92</v>
      </c>
      <c r="C115" s="4" t="s">
        <v>140</v>
      </c>
      <c r="D115" s="5">
        <v>15.6449</v>
      </c>
      <c r="E115" s="5">
        <v>34.2</v>
      </c>
      <c r="F115" s="5">
        <v>0</v>
      </c>
      <c r="G115" s="5">
        <v>12820</v>
      </c>
      <c r="H115" s="5">
        <v>0</v>
      </c>
      <c r="I115" s="5">
        <v>32214.15</v>
      </c>
      <c r="J115" s="5">
        <v>15358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7">
        <f t="shared" si="4"/>
        <v>60441.9949</v>
      </c>
    </row>
    <row r="116" spans="1:18">
      <c r="A116" s="4" t="s">
        <v>24</v>
      </c>
      <c r="B116" s="4" t="s">
        <v>92</v>
      </c>
      <c r="C116" s="4" t="s">
        <v>141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7">
        <f t="shared" si="4"/>
        <v>0</v>
      </c>
    </row>
    <row r="117" spans="1:18">
      <c r="A117" s="4" t="s">
        <v>24</v>
      </c>
      <c r="B117" s="4" t="s">
        <v>92</v>
      </c>
      <c r="C117" s="4" t="s">
        <v>142</v>
      </c>
      <c r="D117" s="5">
        <v>3.4614</v>
      </c>
      <c r="E117" s="5">
        <v>9.3442</v>
      </c>
      <c r="F117" s="5">
        <v>0</v>
      </c>
      <c r="G117" s="5">
        <v>0</v>
      </c>
      <c r="H117" s="5">
        <v>0</v>
      </c>
      <c r="I117" s="5">
        <v>1061.658</v>
      </c>
      <c r="J117" s="5">
        <v>19420.605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7">
        <f t="shared" si="4"/>
        <v>20495.0686</v>
      </c>
    </row>
    <row r="118" spans="1:18">
      <c r="A118" s="4" t="s">
        <v>24</v>
      </c>
      <c r="B118" s="4" t="s">
        <v>92</v>
      </c>
      <c r="C118" s="4" t="s">
        <v>143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7">
        <f t="shared" si="4"/>
        <v>0</v>
      </c>
    </row>
    <row r="119" spans="1:18">
      <c r="A119" s="4" t="s">
        <v>24</v>
      </c>
      <c r="B119" s="4" t="s">
        <v>92</v>
      </c>
      <c r="C119" s="4" t="s">
        <v>144</v>
      </c>
      <c r="D119" s="5">
        <v>3.8951</v>
      </c>
      <c r="E119" s="5">
        <v>41.58</v>
      </c>
      <c r="F119" s="5">
        <v>0</v>
      </c>
      <c r="G119" s="5">
        <v>0</v>
      </c>
      <c r="H119" s="5">
        <v>0</v>
      </c>
      <c r="I119" s="5">
        <v>0.4665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7">
        <f t="shared" si="4"/>
        <v>45.9416</v>
      </c>
    </row>
    <row r="120" spans="1:18">
      <c r="A120" s="4" t="s">
        <v>24</v>
      </c>
      <c r="B120" s="4" t="s">
        <v>92</v>
      </c>
      <c r="C120" s="4" t="s">
        <v>145</v>
      </c>
      <c r="D120" s="5">
        <v>5.1917</v>
      </c>
      <c r="E120" s="5">
        <v>0</v>
      </c>
      <c r="F120" s="5">
        <v>0</v>
      </c>
      <c r="G120" s="5">
        <v>0</v>
      </c>
      <c r="H120" s="5">
        <v>0</v>
      </c>
      <c r="I120" s="5">
        <v>1117.7985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7">
        <f t="shared" si="4"/>
        <v>1122.9902</v>
      </c>
    </row>
    <row r="121" spans="1:18">
      <c r="A121" s="4" t="s">
        <v>24</v>
      </c>
      <c r="B121" s="4" t="s">
        <v>92</v>
      </c>
      <c r="C121" s="4" t="s">
        <v>146</v>
      </c>
      <c r="D121" s="5">
        <v>1.9459</v>
      </c>
      <c r="E121" s="5">
        <v>0</v>
      </c>
      <c r="F121" s="5">
        <v>0</v>
      </c>
      <c r="G121" s="5">
        <v>0</v>
      </c>
      <c r="H121" s="5">
        <v>0</v>
      </c>
      <c r="I121" s="5">
        <v>77.1675</v>
      </c>
      <c r="J121" s="5">
        <v>19916.4166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7">
        <f t="shared" si="4"/>
        <v>19995.53</v>
      </c>
    </row>
    <row r="122" spans="1:18">
      <c r="A122" s="4" t="s">
        <v>24</v>
      </c>
      <c r="B122" s="4" t="s">
        <v>92</v>
      </c>
      <c r="C122" s="4" t="s">
        <v>147</v>
      </c>
      <c r="D122" s="5">
        <v>13.081</v>
      </c>
      <c r="E122" s="5">
        <v>0</v>
      </c>
      <c r="F122" s="5">
        <v>0</v>
      </c>
      <c r="G122" s="5">
        <v>8201.2</v>
      </c>
      <c r="H122" s="5">
        <v>0</v>
      </c>
      <c r="I122" s="5">
        <v>43804.38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7">
        <f t="shared" si="4"/>
        <v>52018.661</v>
      </c>
    </row>
    <row r="123" spans="1:18">
      <c r="A123" s="4" t="s">
        <v>24</v>
      </c>
      <c r="B123" s="4" t="s">
        <v>92</v>
      </c>
      <c r="C123" s="4" t="s">
        <v>148</v>
      </c>
      <c r="D123" s="5">
        <v>25.4238</v>
      </c>
      <c r="E123" s="5">
        <v>35.4647</v>
      </c>
      <c r="F123" s="5">
        <v>0</v>
      </c>
      <c r="G123" s="5">
        <v>0</v>
      </c>
      <c r="H123" s="5">
        <v>0</v>
      </c>
      <c r="I123" s="5">
        <v>114151.002</v>
      </c>
      <c r="J123" s="5">
        <v>105849.6984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7">
        <f t="shared" si="4"/>
        <v>220061.5889</v>
      </c>
    </row>
    <row r="124" spans="1:18">
      <c r="A124" s="4" t="s">
        <v>24</v>
      </c>
      <c r="B124" s="4" t="s">
        <v>92</v>
      </c>
      <c r="C124" s="4" t="s">
        <v>149</v>
      </c>
      <c r="D124" s="5">
        <v>6.4391</v>
      </c>
      <c r="E124" s="5">
        <v>0</v>
      </c>
      <c r="F124" s="5">
        <v>0</v>
      </c>
      <c r="G124" s="5">
        <v>0</v>
      </c>
      <c r="H124" s="5">
        <v>0</v>
      </c>
      <c r="I124" s="5">
        <v>92510.2875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7">
        <f t="shared" si="4"/>
        <v>92516.7266</v>
      </c>
    </row>
    <row r="125" spans="1:18">
      <c r="A125" s="4" t="s">
        <v>24</v>
      </c>
      <c r="B125" s="4" t="s">
        <v>92</v>
      </c>
      <c r="C125" s="4" t="s">
        <v>150</v>
      </c>
      <c r="D125" s="5">
        <v>6.948</v>
      </c>
      <c r="E125" s="5">
        <v>4.68</v>
      </c>
      <c r="F125" s="5">
        <v>0</v>
      </c>
      <c r="G125" s="5">
        <v>4042.4</v>
      </c>
      <c r="H125" s="5">
        <v>0</v>
      </c>
      <c r="I125" s="5">
        <v>97.593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7">
        <f t="shared" si="4"/>
        <v>4151.621</v>
      </c>
    </row>
    <row r="126" spans="1:18">
      <c r="A126" s="4" t="s">
        <v>24</v>
      </c>
      <c r="B126" s="4" t="s">
        <v>92</v>
      </c>
      <c r="C126" s="4" t="s">
        <v>151</v>
      </c>
      <c r="D126" s="5">
        <v>2.5157</v>
      </c>
      <c r="E126" s="5">
        <v>80.64</v>
      </c>
      <c r="F126" s="5">
        <v>0</v>
      </c>
      <c r="G126" s="5">
        <v>0</v>
      </c>
      <c r="H126" s="5">
        <v>0</v>
      </c>
      <c r="I126" s="5">
        <v>13.701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7">
        <f t="shared" si="4"/>
        <v>96.8567</v>
      </c>
    </row>
    <row r="127" spans="1:18">
      <c r="A127" s="4" t="s">
        <v>24</v>
      </c>
      <c r="B127" s="4" t="s">
        <v>92</v>
      </c>
      <c r="C127" s="4" t="s">
        <v>152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72.7695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7">
        <f t="shared" si="4"/>
        <v>72.7695</v>
      </c>
    </row>
    <row r="128" spans="1:18">
      <c r="A128" s="4" t="s">
        <v>24</v>
      </c>
      <c r="B128" s="4" t="s">
        <v>92</v>
      </c>
      <c r="C128" s="4" t="s">
        <v>153</v>
      </c>
      <c r="D128" s="5">
        <v>4.2901</v>
      </c>
      <c r="E128" s="5">
        <v>0</v>
      </c>
      <c r="F128" s="5">
        <v>0</v>
      </c>
      <c r="G128" s="5">
        <v>0</v>
      </c>
      <c r="H128" s="5">
        <v>0</v>
      </c>
      <c r="I128" s="5">
        <v>165.741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7">
        <f t="shared" si="4"/>
        <v>170.0311</v>
      </c>
    </row>
    <row r="129" spans="1:18">
      <c r="A129" s="4" t="s">
        <v>24</v>
      </c>
      <c r="B129" s="4" t="s">
        <v>92</v>
      </c>
      <c r="C129" s="4" t="s">
        <v>154</v>
      </c>
      <c r="D129" s="5">
        <v>5.5963</v>
      </c>
      <c r="E129" s="5">
        <v>0</v>
      </c>
      <c r="F129" s="5">
        <v>0</v>
      </c>
      <c r="G129" s="5">
        <v>0</v>
      </c>
      <c r="H129" s="5">
        <v>0</v>
      </c>
      <c r="I129" s="5">
        <v>8.7075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7">
        <f t="shared" si="4"/>
        <v>14.3038</v>
      </c>
    </row>
    <row r="130" spans="1:18">
      <c r="A130" s="4" t="s">
        <v>24</v>
      </c>
      <c r="B130" s="4" t="s">
        <v>92</v>
      </c>
      <c r="C130" s="4" t="s">
        <v>155</v>
      </c>
      <c r="D130" s="5">
        <v>3.1343</v>
      </c>
      <c r="E130" s="5">
        <v>0</v>
      </c>
      <c r="F130" s="5">
        <v>0</v>
      </c>
      <c r="G130" s="5">
        <v>0</v>
      </c>
      <c r="H130" s="5">
        <v>0</v>
      </c>
      <c r="I130" s="5">
        <v>2587.2615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7">
        <f t="shared" si="4"/>
        <v>2590.3958</v>
      </c>
    </row>
    <row r="131" spans="1:18">
      <c r="A131" s="4" t="s">
        <v>24</v>
      </c>
      <c r="B131" s="4" t="s">
        <v>92</v>
      </c>
      <c r="C131" s="4" t="s">
        <v>156</v>
      </c>
      <c r="D131" s="5">
        <v>3.9234</v>
      </c>
      <c r="E131" s="5">
        <v>57.6</v>
      </c>
      <c r="F131" s="5">
        <v>0</v>
      </c>
      <c r="G131" s="5">
        <v>0</v>
      </c>
      <c r="H131" s="5">
        <v>0</v>
      </c>
      <c r="I131" s="5">
        <v>1.6755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7">
        <f t="shared" si="4"/>
        <v>63.1989</v>
      </c>
    </row>
    <row r="132" spans="1:18">
      <c r="A132" s="4" t="s">
        <v>24</v>
      </c>
      <c r="B132" s="4" t="s">
        <v>92</v>
      </c>
      <c r="C132" s="4" t="s">
        <v>157</v>
      </c>
      <c r="D132" s="5">
        <v>4.5937</v>
      </c>
      <c r="E132" s="5">
        <v>15.876</v>
      </c>
      <c r="F132" s="5">
        <v>0</v>
      </c>
      <c r="G132" s="5">
        <v>4365.6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7">
        <f t="shared" si="4"/>
        <v>4386.0697</v>
      </c>
    </row>
    <row r="133" spans="1:18">
      <c r="A133" s="4" t="s">
        <v>24</v>
      </c>
      <c r="B133" s="4" t="s">
        <v>92</v>
      </c>
      <c r="C133" s="4" t="s">
        <v>158</v>
      </c>
      <c r="D133" s="5">
        <v>1.826</v>
      </c>
      <c r="E133" s="5">
        <v>9.306</v>
      </c>
      <c r="F133" s="5">
        <v>0</v>
      </c>
      <c r="G133" s="5">
        <v>0</v>
      </c>
      <c r="H133" s="5">
        <v>0</v>
      </c>
      <c r="I133" s="5">
        <v>0.21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7">
        <f t="shared" si="4"/>
        <v>11.342</v>
      </c>
    </row>
    <row r="134" spans="1:18">
      <c r="A134" s="4" t="s">
        <v>24</v>
      </c>
      <c r="B134" s="4" t="s">
        <v>92</v>
      </c>
      <c r="C134" s="4" t="s">
        <v>159</v>
      </c>
      <c r="D134" s="5">
        <v>3.4224</v>
      </c>
      <c r="E134" s="5">
        <v>0</v>
      </c>
      <c r="F134" s="5">
        <v>0</v>
      </c>
      <c r="G134" s="5">
        <v>4562.4</v>
      </c>
      <c r="H134" s="5">
        <v>0</v>
      </c>
      <c r="I134" s="5">
        <v>323.1375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7">
        <f t="shared" ref="R134:R165" si="5">SUM(D134:Q134)</f>
        <v>4888.9599</v>
      </c>
    </row>
    <row r="135" spans="1:18">
      <c r="A135" s="4" t="s">
        <v>24</v>
      </c>
      <c r="B135" s="4" t="s">
        <v>92</v>
      </c>
      <c r="C135" s="4" t="s">
        <v>160</v>
      </c>
      <c r="D135" s="5">
        <v>1.7568</v>
      </c>
      <c r="E135" s="5">
        <v>0</v>
      </c>
      <c r="F135" s="5">
        <v>0</v>
      </c>
      <c r="G135" s="5">
        <v>0</v>
      </c>
      <c r="H135" s="5">
        <v>0</v>
      </c>
      <c r="I135" s="5">
        <v>49.3935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7">
        <f t="shared" si="5"/>
        <v>51.1503</v>
      </c>
    </row>
    <row r="136" spans="1:18">
      <c r="A136" s="4" t="s">
        <v>24</v>
      </c>
      <c r="B136" s="4" t="s">
        <v>92</v>
      </c>
      <c r="C136" s="4" t="s">
        <v>161</v>
      </c>
      <c r="D136" s="5">
        <v>0.786</v>
      </c>
      <c r="E136" s="5">
        <v>0</v>
      </c>
      <c r="F136" s="5">
        <v>0</v>
      </c>
      <c r="G136" s="5">
        <v>0</v>
      </c>
      <c r="H136" s="5">
        <v>0</v>
      </c>
      <c r="I136" s="5">
        <v>132.1215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7">
        <f t="shared" si="5"/>
        <v>132.9075</v>
      </c>
    </row>
    <row r="137" spans="1:18">
      <c r="A137" s="4" t="s">
        <v>24</v>
      </c>
      <c r="B137" s="4" t="s">
        <v>92</v>
      </c>
      <c r="C137" s="4" t="s">
        <v>162</v>
      </c>
      <c r="D137" s="5">
        <v>6.3674</v>
      </c>
      <c r="E137" s="5">
        <v>94.5</v>
      </c>
      <c r="F137" s="5">
        <v>0</v>
      </c>
      <c r="G137" s="5">
        <v>0</v>
      </c>
      <c r="H137" s="5">
        <v>0</v>
      </c>
      <c r="I137" s="5">
        <v>1392.627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7">
        <f t="shared" si="5"/>
        <v>1493.4944</v>
      </c>
    </row>
    <row r="138" spans="1:18">
      <c r="A138" s="4" t="s">
        <v>24</v>
      </c>
      <c r="B138" s="4" t="s">
        <v>92</v>
      </c>
      <c r="C138" s="4" t="s">
        <v>163</v>
      </c>
      <c r="D138" s="5">
        <v>6.2117</v>
      </c>
      <c r="E138" s="5">
        <v>8.217</v>
      </c>
      <c r="F138" s="5">
        <v>0</v>
      </c>
      <c r="G138" s="5">
        <v>6870.8</v>
      </c>
      <c r="H138" s="5">
        <v>0</v>
      </c>
      <c r="I138" s="5">
        <v>1700.3865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7">
        <f t="shared" si="5"/>
        <v>8585.6152</v>
      </c>
    </row>
    <row r="139" spans="1:18">
      <c r="A139" s="4" t="s">
        <v>24</v>
      </c>
      <c r="B139" s="4" t="s">
        <v>92</v>
      </c>
      <c r="C139" s="4" t="s">
        <v>164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585.897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7">
        <f t="shared" si="5"/>
        <v>585.897</v>
      </c>
    </row>
    <row r="140" spans="1:18">
      <c r="A140" s="4" t="s">
        <v>24</v>
      </c>
      <c r="B140" s="4" t="s">
        <v>92</v>
      </c>
      <c r="C140" s="4" t="s">
        <v>165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120.126</v>
      </c>
      <c r="J140" s="5">
        <v>22240.29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7">
        <f t="shared" si="5"/>
        <v>22360.416</v>
      </c>
    </row>
    <row r="141" spans="1:18">
      <c r="A141" s="4" t="s">
        <v>24</v>
      </c>
      <c r="B141" s="4" t="s">
        <v>92</v>
      </c>
      <c r="C141" s="4" t="s">
        <v>166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1085.436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7">
        <f t="shared" si="5"/>
        <v>1085.436</v>
      </c>
    </row>
    <row r="142" spans="1:18">
      <c r="A142" s="4" t="s">
        <v>24</v>
      </c>
      <c r="B142" s="4" t="s">
        <v>92</v>
      </c>
      <c r="C142" s="4" t="s">
        <v>167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7">
        <f t="shared" si="5"/>
        <v>0</v>
      </c>
    </row>
    <row r="143" spans="1:18">
      <c r="A143" s="4" t="s">
        <v>24</v>
      </c>
      <c r="B143" s="4" t="s">
        <v>92</v>
      </c>
      <c r="C143" s="4" t="s">
        <v>168</v>
      </c>
      <c r="D143" s="5">
        <v>0.7753</v>
      </c>
      <c r="E143" s="5">
        <v>0</v>
      </c>
      <c r="F143" s="5">
        <v>0</v>
      </c>
      <c r="G143" s="5">
        <v>0</v>
      </c>
      <c r="H143" s="5">
        <v>0</v>
      </c>
      <c r="I143" s="5">
        <v>6779.244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7">
        <f t="shared" si="5"/>
        <v>6780.0193</v>
      </c>
    </row>
    <row r="144" spans="1:18">
      <c r="A144" s="4" t="s">
        <v>24</v>
      </c>
      <c r="B144" s="4" t="s">
        <v>92</v>
      </c>
      <c r="C144" s="4" t="s">
        <v>169</v>
      </c>
      <c r="D144" s="5">
        <v>3.8245</v>
      </c>
      <c r="E144" s="5">
        <v>0</v>
      </c>
      <c r="F144" s="5">
        <v>0</v>
      </c>
      <c r="G144" s="5">
        <v>0</v>
      </c>
      <c r="H144" s="5">
        <v>0</v>
      </c>
      <c r="I144" s="5">
        <v>477.291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7">
        <f t="shared" si="5"/>
        <v>481.1155</v>
      </c>
    </row>
    <row r="145" spans="1:18">
      <c r="A145" s="4" t="s">
        <v>24</v>
      </c>
      <c r="B145" s="4" t="s">
        <v>92</v>
      </c>
      <c r="C145" s="4" t="s">
        <v>170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512089.5675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7">
        <f t="shared" si="5"/>
        <v>512089.5675</v>
      </c>
    </row>
    <row r="146" spans="1:18">
      <c r="A146" s="4" t="s">
        <v>24</v>
      </c>
      <c r="B146" s="4" t="s">
        <v>92</v>
      </c>
      <c r="C146" s="4" t="s">
        <v>171</v>
      </c>
      <c r="D146" s="5">
        <v>11.6346</v>
      </c>
      <c r="E146" s="5">
        <v>82.4587</v>
      </c>
      <c r="F146" s="5">
        <v>0</v>
      </c>
      <c r="G146" s="5">
        <v>3896</v>
      </c>
      <c r="H146" s="5">
        <v>0</v>
      </c>
      <c r="I146" s="5">
        <v>4344.726</v>
      </c>
      <c r="J146" s="5">
        <v>24043.8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7">
        <f t="shared" si="5"/>
        <v>32378.6193</v>
      </c>
    </row>
    <row r="147" spans="1:18">
      <c r="A147" s="4" t="s">
        <v>24</v>
      </c>
      <c r="B147" s="4" t="s">
        <v>92</v>
      </c>
      <c r="C147" s="4" t="s">
        <v>172</v>
      </c>
      <c r="D147" s="5">
        <v>3.1144</v>
      </c>
      <c r="E147" s="5">
        <v>15.48</v>
      </c>
      <c r="F147" s="5">
        <v>0</v>
      </c>
      <c r="G147" s="5">
        <v>0</v>
      </c>
      <c r="H147" s="5">
        <v>0</v>
      </c>
      <c r="I147" s="5">
        <v>197.442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7">
        <f t="shared" si="5"/>
        <v>216.0364</v>
      </c>
    </row>
    <row r="148" spans="1:18">
      <c r="A148" s="4" t="s">
        <v>24</v>
      </c>
      <c r="B148" s="4" t="s">
        <v>92</v>
      </c>
      <c r="C148" s="4" t="s">
        <v>173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15503.9355</v>
      </c>
      <c r="J148" s="5">
        <v>21641.2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7">
        <f t="shared" si="5"/>
        <v>37145.1355</v>
      </c>
    </row>
    <row r="149" spans="1:18">
      <c r="A149" s="4" t="s">
        <v>24</v>
      </c>
      <c r="B149" s="4" t="s">
        <v>92</v>
      </c>
      <c r="C149" s="4" t="s">
        <v>174</v>
      </c>
      <c r="D149" s="5">
        <v>4.5827</v>
      </c>
      <c r="E149" s="5">
        <v>112.9464</v>
      </c>
      <c r="F149" s="5">
        <v>0</v>
      </c>
      <c r="G149" s="5">
        <v>0</v>
      </c>
      <c r="H149" s="5">
        <v>0</v>
      </c>
      <c r="I149" s="5">
        <v>346.521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7">
        <f t="shared" si="5"/>
        <v>464.0501</v>
      </c>
    </row>
    <row r="150" spans="1:18">
      <c r="A150" s="4" t="s">
        <v>24</v>
      </c>
      <c r="B150" s="4" t="s">
        <v>92</v>
      </c>
      <c r="C150" s="4" t="s">
        <v>175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13021.0335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7">
        <f t="shared" si="5"/>
        <v>13021.0335</v>
      </c>
    </row>
    <row r="151" spans="1:18">
      <c r="A151" s="4" t="s">
        <v>24</v>
      </c>
      <c r="B151" s="4" t="s">
        <v>92</v>
      </c>
      <c r="C151" s="4" t="s">
        <v>176</v>
      </c>
      <c r="D151" s="5">
        <v>12.1531</v>
      </c>
      <c r="E151" s="5">
        <v>0</v>
      </c>
      <c r="F151" s="5">
        <v>0</v>
      </c>
      <c r="G151" s="5">
        <v>0</v>
      </c>
      <c r="H151" s="5">
        <v>0</v>
      </c>
      <c r="I151" s="5">
        <v>318.1485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7">
        <f t="shared" si="5"/>
        <v>330.3016</v>
      </c>
    </row>
    <row r="152" spans="1:18">
      <c r="A152" s="4" t="s">
        <v>24</v>
      </c>
      <c r="B152" s="4" t="s">
        <v>92</v>
      </c>
      <c r="C152" s="4" t="s">
        <v>177</v>
      </c>
      <c r="D152" s="5">
        <v>2.6896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7">
        <f t="shared" si="5"/>
        <v>2.6896</v>
      </c>
    </row>
    <row r="153" spans="1:18">
      <c r="A153" s="4" t="s">
        <v>24</v>
      </c>
      <c r="B153" s="4" t="s">
        <v>178</v>
      </c>
      <c r="C153" s="4" t="s">
        <v>179</v>
      </c>
      <c r="D153" s="5">
        <v>0</v>
      </c>
      <c r="E153" s="5">
        <v>2489.4</v>
      </c>
      <c r="F153" s="5">
        <v>0</v>
      </c>
      <c r="G153" s="5">
        <v>0</v>
      </c>
      <c r="H153" s="5">
        <v>0</v>
      </c>
      <c r="I153" s="5">
        <v>2340.069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7">
        <f t="shared" si="5"/>
        <v>4829.469</v>
      </c>
    </row>
    <row r="154" spans="1:18">
      <c r="A154" s="4" t="s">
        <v>24</v>
      </c>
      <c r="B154" s="4" t="s">
        <v>178</v>
      </c>
      <c r="C154" s="4" t="s">
        <v>180</v>
      </c>
      <c r="D154" s="5">
        <v>0</v>
      </c>
      <c r="E154" s="5">
        <v>28.224</v>
      </c>
      <c r="F154" s="5">
        <v>0</v>
      </c>
      <c r="G154" s="5">
        <v>0</v>
      </c>
      <c r="H154" s="5">
        <v>0</v>
      </c>
      <c r="I154" s="5">
        <v>27682.7265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7">
        <f t="shared" si="5"/>
        <v>27710.9505</v>
      </c>
    </row>
    <row r="155" spans="1:18">
      <c r="A155" s="4" t="s">
        <v>24</v>
      </c>
      <c r="B155" s="4" t="s">
        <v>178</v>
      </c>
      <c r="C155" s="4" t="s">
        <v>181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220.575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7">
        <f t="shared" si="5"/>
        <v>220.575</v>
      </c>
    </row>
    <row r="156" spans="1:18">
      <c r="A156" s="4" t="s">
        <v>24</v>
      </c>
      <c r="B156" s="4" t="s">
        <v>178</v>
      </c>
      <c r="C156" s="4" t="s">
        <v>182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0.2325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7">
        <f t="shared" si="5"/>
        <v>0.2325</v>
      </c>
    </row>
    <row r="157" spans="1:18">
      <c r="A157" s="4" t="s">
        <v>24</v>
      </c>
      <c r="B157" s="4" t="s">
        <v>178</v>
      </c>
      <c r="C157" s="4" t="s">
        <v>183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9976.542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7">
        <f t="shared" si="5"/>
        <v>9976.542</v>
      </c>
    </row>
    <row r="158" spans="1:18">
      <c r="A158" s="4" t="s">
        <v>24</v>
      </c>
      <c r="B158" s="4" t="s">
        <v>178</v>
      </c>
      <c r="C158" s="4" t="s">
        <v>184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188923.8975</v>
      </c>
      <c r="J158" s="5">
        <v>39220.83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7">
        <f t="shared" si="5"/>
        <v>228144.7275</v>
      </c>
    </row>
    <row r="159" spans="1:18">
      <c r="A159" s="4" t="s">
        <v>24</v>
      </c>
      <c r="B159" s="4" t="s">
        <v>178</v>
      </c>
      <c r="C159" s="4" t="s">
        <v>185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190944.1545</v>
      </c>
      <c r="J159" s="5">
        <v>71787.75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7">
        <f t="shared" si="5"/>
        <v>262731.9045</v>
      </c>
    </row>
    <row r="160" spans="1:18">
      <c r="A160" s="4" t="s">
        <v>24</v>
      </c>
      <c r="B160" s="4" t="s">
        <v>178</v>
      </c>
      <c r="C160" s="4" t="s">
        <v>186</v>
      </c>
      <c r="D160" s="5">
        <v>0</v>
      </c>
      <c r="E160" s="5">
        <v>1.728</v>
      </c>
      <c r="F160" s="5">
        <v>0</v>
      </c>
      <c r="G160" s="5">
        <v>0</v>
      </c>
      <c r="H160" s="5">
        <v>0</v>
      </c>
      <c r="I160" s="5">
        <v>127950.765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7">
        <f t="shared" si="5"/>
        <v>127952.493</v>
      </c>
    </row>
    <row r="161" spans="1:18">
      <c r="A161" s="4" t="s">
        <v>24</v>
      </c>
      <c r="B161" s="4" t="s">
        <v>178</v>
      </c>
      <c r="C161" s="4" t="s">
        <v>187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1.5135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7">
        <f t="shared" si="5"/>
        <v>1.5135</v>
      </c>
    </row>
    <row r="162" spans="1:18">
      <c r="A162" s="4" t="s">
        <v>24</v>
      </c>
      <c r="B162" s="4" t="s">
        <v>178</v>
      </c>
      <c r="C162" s="4" t="s">
        <v>188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776361.531</v>
      </c>
      <c r="J162" s="5">
        <v>224592.368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7">
        <f t="shared" si="5"/>
        <v>1000953.899</v>
      </c>
    </row>
    <row r="163" spans="1:18">
      <c r="A163" s="4" t="s">
        <v>24</v>
      </c>
      <c r="B163" s="4" t="s">
        <v>178</v>
      </c>
      <c r="C163" s="4" t="s">
        <v>189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18773.37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7">
        <f t="shared" si="5"/>
        <v>18773.37</v>
      </c>
    </row>
    <row r="164" spans="1:18">
      <c r="A164" s="4" t="s">
        <v>24</v>
      </c>
      <c r="B164" s="4" t="s">
        <v>178</v>
      </c>
      <c r="C164" s="4" t="s">
        <v>190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119758.404</v>
      </c>
      <c r="J164" s="5">
        <v>79807.14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7">
        <f t="shared" si="5"/>
        <v>199565.544</v>
      </c>
    </row>
    <row r="165" spans="1:18">
      <c r="A165" s="4" t="s">
        <v>24</v>
      </c>
      <c r="B165" s="4" t="s">
        <v>178</v>
      </c>
      <c r="C165" s="4" t="s">
        <v>191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80242.4625</v>
      </c>
      <c r="J165" s="5">
        <v>81058.7188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7">
        <f t="shared" si="5"/>
        <v>161301.1813</v>
      </c>
    </row>
    <row r="166" spans="1:18">
      <c r="A166" s="4" t="s">
        <v>24</v>
      </c>
      <c r="B166" s="4" t="s">
        <v>178</v>
      </c>
      <c r="C166" s="4" t="s">
        <v>192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235927.3635</v>
      </c>
      <c r="J166" s="5">
        <v>85778.16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7">
        <f t="shared" ref="R166:R197" si="6">SUM(D166:Q166)</f>
        <v>321705.5235</v>
      </c>
    </row>
    <row r="167" spans="1:18">
      <c r="A167" s="4" t="s">
        <v>24</v>
      </c>
      <c r="B167" s="4" t="s">
        <v>178</v>
      </c>
      <c r="C167" s="4" t="s">
        <v>193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891.027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7">
        <f t="shared" si="6"/>
        <v>891.027</v>
      </c>
    </row>
    <row r="168" spans="1:18">
      <c r="A168" s="4" t="s">
        <v>24</v>
      </c>
      <c r="B168" s="4" t="s">
        <v>178</v>
      </c>
      <c r="C168" s="4" t="s">
        <v>194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174765.441</v>
      </c>
      <c r="J168" s="5">
        <v>208199.621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7">
        <f t="shared" si="6"/>
        <v>382965.062</v>
      </c>
    </row>
    <row r="169" spans="1:18">
      <c r="A169" s="4" t="s">
        <v>24</v>
      </c>
      <c r="B169" s="4" t="s">
        <v>178</v>
      </c>
      <c r="C169" s="4" t="s">
        <v>195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261669.7875</v>
      </c>
      <c r="J169" s="5">
        <v>95860.62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7">
        <f t="shared" si="6"/>
        <v>357530.4075</v>
      </c>
    </row>
    <row r="170" spans="1:18">
      <c r="A170" s="4" t="s">
        <v>24</v>
      </c>
      <c r="B170" s="4" t="s">
        <v>178</v>
      </c>
      <c r="C170" s="4" t="s">
        <v>196</v>
      </c>
      <c r="D170" s="5">
        <v>0</v>
      </c>
      <c r="E170" s="5">
        <v>34.0992</v>
      </c>
      <c r="F170" s="5">
        <v>0</v>
      </c>
      <c r="G170" s="5">
        <v>0</v>
      </c>
      <c r="H170" s="5">
        <v>0</v>
      </c>
      <c r="I170" s="5">
        <v>440199.1845</v>
      </c>
      <c r="J170" s="5">
        <v>114270.53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7">
        <f t="shared" si="6"/>
        <v>554503.8137</v>
      </c>
    </row>
    <row r="171" spans="1:18">
      <c r="A171" s="4" t="s">
        <v>24</v>
      </c>
      <c r="B171" s="4" t="s">
        <v>178</v>
      </c>
      <c r="C171" s="4" t="s">
        <v>197</v>
      </c>
      <c r="D171" s="5">
        <v>0</v>
      </c>
      <c r="E171" s="5">
        <v>1712.664</v>
      </c>
      <c r="F171" s="5">
        <v>0</v>
      </c>
      <c r="G171" s="5">
        <v>0</v>
      </c>
      <c r="H171" s="5">
        <v>0</v>
      </c>
      <c r="I171" s="5">
        <v>9738.849</v>
      </c>
      <c r="J171" s="5">
        <v>40011.5063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7">
        <f t="shared" si="6"/>
        <v>51463.0193</v>
      </c>
    </row>
    <row r="172" spans="1:18">
      <c r="A172" s="4" t="s">
        <v>24</v>
      </c>
      <c r="B172" s="4" t="s">
        <v>198</v>
      </c>
      <c r="C172" s="4" t="s">
        <v>199</v>
      </c>
      <c r="D172" s="5">
        <v>1.5996</v>
      </c>
      <c r="E172" s="5">
        <v>0</v>
      </c>
      <c r="F172" s="5">
        <v>0</v>
      </c>
      <c r="G172" s="5">
        <v>0</v>
      </c>
      <c r="H172" s="5">
        <v>0</v>
      </c>
      <c r="I172" s="5">
        <v>869.712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80000</v>
      </c>
      <c r="R172" s="7">
        <f t="shared" si="6"/>
        <v>80871.3116</v>
      </c>
    </row>
    <row r="173" spans="1:18">
      <c r="A173" s="4" t="s">
        <v>24</v>
      </c>
      <c r="B173" s="4" t="s">
        <v>200</v>
      </c>
      <c r="C173" s="4" t="s">
        <v>201</v>
      </c>
      <c r="D173" s="5">
        <v>0</v>
      </c>
      <c r="E173" s="5">
        <v>257158.362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7">
        <f t="shared" si="6"/>
        <v>257158.362</v>
      </c>
    </row>
    <row r="174" spans="1:18">
      <c r="A174" s="4" t="s">
        <v>24</v>
      </c>
      <c r="B174" s="4" t="s">
        <v>200</v>
      </c>
      <c r="C174" s="4" t="s">
        <v>202</v>
      </c>
      <c r="D174" s="5">
        <v>0</v>
      </c>
      <c r="E174" s="5">
        <v>1781627.7295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7">
        <f t="shared" si="6"/>
        <v>1781627.7295</v>
      </c>
    </row>
    <row r="175" spans="1:18">
      <c r="A175" s="4" t="s">
        <v>24</v>
      </c>
      <c r="B175" s="4" t="s">
        <v>203</v>
      </c>
      <c r="C175" s="4" t="s">
        <v>204</v>
      </c>
      <c r="D175" s="5">
        <v>1.1765</v>
      </c>
      <c r="E175" s="5">
        <v>0</v>
      </c>
      <c r="F175" s="5">
        <v>0</v>
      </c>
      <c r="G175" s="5">
        <v>0</v>
      </c>
      <c r="H175" s="5">
        <v>0</v>
      </c>
      <c r="I175" s="5">
        <v>11.5845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7">
        <f t="shared" si="6"/>
        <v>12.761</v>
      </c>
    </row>
    <row r="176" spans="1:18">
      <c r="A176" s="4" t="s">
        <v>24</v>
      </c>
      <c r="B176" s="4" t="s">
        <v>203</v>
      </c>
      <c r="C176" s="4" t="s">
        <v>205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7">
        <f t="shared" si="6"/>
        <v>0</v>
      </c>
    </row>
    <row r="177" spans="1:18">
      <c r="A177" s="4" t="s">
        <v>24</v>
      </c>
      <c r="B177" s="4" t="s">
        <v>203</v>
      </c>
      <c r="C177" s="4" t="s">
        <v>206</v>
      </c>
      <c r="D177" s="5">
        <v>3.5212</v>
      </c>
      <c r="E177" s="5">
        <v>0</v>
      </c>
      <c r="F177" s="5">
        <v>0</v>
      </c>
      <c r="G177" s="5">
        <v>0</v>
      </c>
      <c r="H177" s="5">
        <v>0</v>
      </c>
      <c r="I177" s="5">
        <v>0.7995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7">
        <f t="shared" si="6"/>
        <v>4.3207</v>
      </c>
    </row>
    <row r="178" spans="1:18">
      <c r="A178" s="4" t="s">
        <v>24</v>
      </c>
      <c r="B178" s="4" t="s">
        <v>203</v>
      </c>
      <c r="C178" s="4" t="s">
        <v>207</v>
      </c>
      <c r="D178" s="5">
        <v>9.2153</v>
      </c>
      <c r="E178" s="5">
        <v>0</v>
      </c>
      <c r="F178" s="5">
        <v>0</v>
      </c>
      <c r="G178" s="5">
        <v>0</v>
      </c>
      <c r="H178" s="5">
        <v>0</v>
      </c>
      <c r="I178" s="5">
        <v>47.766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7">
        <f t="shared" si="6"/>
        <v>56.9813</v>
      </c>
    </row>
    <row r="179" spans="1:18">
      <c r="A179" s="4" t="s">
        <v>24</v>
      </c>
      <c r="B179" s="4" t="s">
        <v>203</v>
      </c>
      <c r="C179" s="4" t="s">
        <v>208</v>
      </c>
      <c r="D179" s="5">
        <v>10.4548</v>
      </c>
      <c r="E179" s="5">
        <v>0</v>
      </c>
      <c r="F179" s="5">
        <v>0</v>
      </c>
      <c r="G179" s="5">
        <v>3653.2</v>
      </c>
      <c r="H179" s="5">
        <v>0</v>
      </c>
      <c r="I179" s="5">
        <v>1.2315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7">
        <f t="shared" si="6"/>
        <v>3664.8863</v>
      </c>
    </row>
    <row r="180" spans="1:18">
      <c r="A180" s="4" t="s">
        <v>24</v>
      </c>
      <c r="B180" s="4" t="s">
        <v>203</v>
      </c>
      <c r="C180" s="4" t="s">
        <v>209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26.1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7">
        <f t="shared" si="6"/>
        <v>26.1</v>
      </c>
    </row>
    <row r="181" spans="1:18">
      <c r="A181" s="4" t="s">
        <v>24</v>
      </c>
      <c r="B181" s="4" t="s">
        <v>203</v>
      </c>
      <c r="C181" s="4" t="s">
        <v>210</v>
      </c>
      <c r="D181" s="5">
        <v>9.0197</v>
      </c>
      <c r="E181" s="5">
        <v>0</v>
      </c>
      <c r="F181" s="5">
        <v>0</v>
      </c>
      <c r="G181" s="5">
        <v>1503.2</v>
      </c>
      <c r="H181" s="5">
        <v>0</v>
      </c>
      <c r="I181" s="5">
        <v>14.793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7">
        <f t="shared" si="6"/>
        <v>1527.0127</v>
      </c>
    </row>
    <row r="182" spans="1:18">
      <c r="A182" s="4" t="s">
        <v>24</v>
      </c>
      <c r="B182" s="4" t="s">
        <v>203</v>
      </c>
      <c r="C182" s="4" t="s">
        <v>211</v>
      </c>
      <c r="D182" s="5">
        <v>7.8145</v>
      </c>
      <c r="E182" s="5">
        <v>0</v>
      </c>
      <c r="F182" s="5">
        <v>0</v>
      </c>
      <c r="G182" s="5">
        <v>1544</v>
      </c>
      <c r="H182" s="5">
        <v>0</v>
      </c>
      <c r="I182" s="5">
        <v>21.9525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7">
        <f t="shared" si="6"/>
        <v>1573.767</v>
      </c>
    </row>
    <row r="183" spans="1:18">
      <c r="A183" s="4" t="s">
        <v>24</v>
      </c>
      <c r="B183" s="4" t="s">
        <v>203</v>
      </c>
      <c r="C183" s="4" t="s">
        <v>212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7">
        <f t="shared" si="6"/>
        <v>0</v>
      </c>
    </row>
    <row r="184" spans="1:18">
      <c r="A184" s="4" t="s">
        <v>24</v>
      </c>
      <c r="B184" s="4" t="s">
        <v>203</v>
      </c>
      <c r="C184" s="4" t="s">
        <v>213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20.9535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7">
        <f t="shared" si="6"/>
        <v>20.9535</v>
      </c>
    </row>
    <row r="185" spans="1:18">
      <c r="A185" s="4" t="s">
        <v>24</v>
      </c>
      <c r="B185" s="4" t="s">
        <v>203</v>
      </c>
      <c r="C185" s="4" t="s">
        <v>214</v>
      </c>
      <c r="D185" s="5">
        <v>7.8062</v>
      </c>
      <c r="E185" s="5">
        <v>0</v>
      </c>
      <c r="F185" s="5">
        <v>0</v>
      </c>
      <c r="G185" s="5">
        <v>6428.8</v>
      </c>
      <c r="H185" s="5">
        <v>0</v>
      </c>
      <c r="I185" s="5">
        <v>0.5505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7">
        <f t="shared" si="6"/>
        <v>6437.1567</v>
      </c>
    </row>
    <row r="186" spans="1:18">
      <c r="A186" s="4" t="s">
        <v>24</v>
      </c>
      <c r="B186" s="4" t="s">
        <v>203</v>
      </c>
      <c r="C186" s="4" t="s">
        <v>215</v>
      </c>
      <c r="D186" s="5">
        <v>3.2149</v>
      </c>
      <c r="E186" s="5">
        <v>0</v>
      </c>
      <c r="F186" s="5">
        <v>0</v>
      </c>
      <c r="G186" s="5">
        <v>682</v>
      </c>
      <c r="H186" s="5">
        <v>0</v>
      </c>
      <c r="I186" s="5">
        <v>14.517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7">
        <f t="shared" si="6"/>
        <v>699.7319</v>
      </c>
    </row>
    <row r="187" spans="1:18">
      <c r="A187" s="4" t="s">
        <v>24</v>
      </c>
      <c r="B187" s="4" t="s">
        <v>203</v>
      </c>
      <c r="C187" s="4" t="s">
        <v>216</v>
      </c>
      <c r="D187" s="5">
        <v>10.9579</v>
      </c>
      <c r="E187" s="5">
        <v>0</v>
      </c>
      <c r="F187" s="5">
        <v>0</v>
      </c>
      <c r="G187" s="5">
        <v>6601.6</v>
      </c>
      <c r="H187" s="5">
        <v>0</v>
      </c>
      <c r="I187" s="5">
        <v>25.7115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7">
        <f t="shared" si="6"/>
        <v>6638.2694</v>
      </c>
    </row>
    <row r="188" spans="1:18">
      <c r="A188" s="4" t="s">
        <v>24</v>
      </c>
      <c r="B188" s="4" t="s">
        <v>203</v>
      </c>
      <c r="C188" s="4" t="s">
        <v>217</v>
      </c>
      <c r="D188" s="5">
        <v>2.5556</v>
      </c>
      <c r="E188" s="5">
        <v>0</v>
      </c>
      <c r="F188" s="5">
        <v>0</v>
      </c>
      <c r="G188" s="5">
        <v>0</v>
      </c>
      <c r="H188" s="5">
        <v>0</v>
      </c>
      <c r="I188" s="5">
        <v>291.6195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7">
        <f t="shared" si="6"/>
        <v>294.1751</v>
      </c>
    </row>
    <row r="189" spans="1:18">
      <c r="A189" s="4" t="s">
        <v>24</v>
      </c>
      <c r="B189" s="4" t="s">
        <v>203</v>
      </c>
      <c r="C189" s="4" t="s">
        <v>218</v>
      </c>
      <c r="D189" s="5">
        <v>1.9847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7">
        <f t="shared" si="6"/>
        <v>1.9847</v>
      </c>
    </row>
    <row r="190" spans="1:18">
      <c r="A190" s="4" t="s">
        <v>24</v>
      </c>
      <c r="B190" s="4" t="s">
        <v>203</v>
      </c>
      <c r="C190" s="4" t="s">
        <v>219</v>
      </c>
      <c r="D190" s="5">
        <v>9.5498</v>
      </c>
      <c r="E190" s="5">
        <v>0</v>
      </c>
      <c r="F190" s="5">
        <v>0</v>
      </c>
      <c r="G190" s="5">
        <v>3461.6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7">
        <f t="shared" si="6"/>
        <v>3471.1498</v>
      </c>
    </row>
    <row r="191" spans="1:18">
      <c r="A191" s="4" t="s">
        <v>24</v>
      </c>
      <c r="B191" s="4" t="s">
        <v>203</v>
      </c>
      <c r="C191" s="4" t="s">
        <v>220</v>
      </c>
      <c r="D191" s="5">
        <v>2.88</v>
      </c>
      <c r="E191" s="5">
        <v>0</v>
      </c>
      <c r="F191" s="5">
        <v>0</v>
      </c>
      <c r="G191" s="5">
        <v>0</v>
      </c>
      <c r="H191" s="5">
        <v>0</v>
      </c>
      <c r="I191" s="5">
        <v>161.592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7">
        <f t="shared" si="6"/>
        <v>164.472</v>
      </c>
    </row>
    <row r="192" spans="1:18">
      <c r="A192" s="4" t="s">
        <v>24</v>
      </c>
      <c r="B192" s="4" t="s">
        <v>203</v>
      </c>
      <c r="C192" s="4" t="s">
        <v>221</v>
      </c>
      <c r="D192" s="5">
        <v>9.3942</v>
      </c>
      <c r="E192" s="5">
        <v>0</v>
      </c>
      <c r="F192" s="5">
        <v>0</v>
      </c>
      <c r="G192" s="5">
        <v>1024.8</v>
      </c>
      <c r="H192" s="5">
        <v>0</v>
      </c>
      <c r="I192" s="5">
        <v>90.285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7">
        <f t="shared" si="6"/>
        <v>1124.4792</v>
      </c>
    </row>
    <row r="193" spans="1:18">
      <c r="A193" s="4" t="s">
        <v>24</v>
      </c>
      <c r="B193" s="4" t="s">
        <v>203</v>
      </c>
      <c r="C193" s="4" t="s">
        <v>222</v>
      </c>
      <c r="D193" s="5">
        <v>3.6986</v>
      </c>
      <c r="E193" s="5">
        <v>0</v>
      </c>
      <c r="F193" s="5">
        <v>0</v>
      </c>
      <c r="G193" s="5">
        <v>2462.4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7">
        <f t="shared" si="6"/>
        <v>2466.0986</v>
      </c>
    </row>
    <row r="194" spans="1:18">
      <c r="A194" s="4" t="s">
        <v>24</v>
      </c>
      <c r="B194" s="4" t="s">
        <v>203</v>
      </c>
      <c r="C194" s="4" t="s">
        <v>223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30.0105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7">
        <f t="shared" si="6"/>
        <v>30.0105</v>
      </c>
    </row>
    <row r="195" spans="1:18">
      <c r="A195" s="4" t="s">
        <v>24</v>
      </c>
      <c r="B195" s="4" t="s">
        <v>203</v>
      </c>
      <c r="C195" s="4" t="s">
        <v>224</v>
      </c>
      <c r="D195" s="5">
        <v>20.8861</v>
      </c>
      <c r="E195" s="5">
        <v>0</v>
      </c>
      <c r="F195" s="5">
        <v>0</v>
      </c>
      <c r="G195" s="5">
        <v>11410.4</v>
      </c>
      <c r="H195" s="5">
        <v>0</v>
      </c>
      <c r="I195" s="5">
        <v>4.8315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7">
        <f t="shared" si="6"/>
        <v>11436.1176</v>
      </c>
    </row>
    <row r="196" spans="1:18">
      <c r="A196" s="4" t="s">
        <v>24</v>
      </c>
      <c r="B196" s="4" t="s">
        <v>203</v>
      </c>
      <c r="C196" s="4" t="s">
        <v>225</v>
      </c>
      <c r="D196" s="5">
        <v>2.8696</v>
      </c>
      <c r="E196" s="5">
        <v>0</v>
      </c>
      <c r="F196" s="5">
        <v>0</v>
      </c>
      <c r="G196" s="5">
        <v>740.8</v>
      </c>
      <c r="H196" s="5">
        <v>0</v>
      </c>
      <c r="I196" s="5">
        <v>26219.376</v>
      </c>
      <c r="J196" s="5">
        <v>3602.25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7">
        <f t="shared" si="6"/>
        <v>30565.2956</v>
      </c>
    </row>
    <row r="197" spans="1:18">
      <c r="A197" s="4" t="s">
        <v>24</v>
      </c>
      <c r="B197" s="4" t="s">
        <v>203</v>
      </c>
      <c r="C197" s="4" t="s">
        <v>226</v>
      </c>
      <c r="D197" s="5">
        <v>1.0829</v>
      </c>
      <c r="E197" s="5">
        <v>0</v>
      </c>
      <c r="F197" s="5">
        <v>0</v>
      </c>
      <c r="G197" s="5">
        <v>0</v>
      </c>
      <c r="H197" s="5">
        <v>0</v>
      </c>
      <c r="I197" s="5">
        <v>1.635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7">
        <f t="shared" si="6"/>
        <v>2.7179</v>
      </c>
    </row>
    <row r="198" spans="1:18">
      <c r="A198" s="4" t="s">
        <v>24</v>
      </c>
      <c r="B198" s="4" t="s">
        <v>203</v>
      </c>
      <c r="C198" s="4" t="s">
        <v>227</v>
      </c>
      <c r="D198" s="5">
        <v>30.2232</v>
      </c>
      <c r="E198" s="5">
        <v>0</v>
      </c>
      <c r="F198" s="5">
        <v>0</v>
      </c>
      <c r="G198" s="5">
        <v>18390.4</v>
      </c>
      <c r="H198" s="5">
        <v>0</v>
      </c>
      <c r="I198" s="5">
        <v>153.0915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7">
        <f>SUM(D198:Q198)</f>
        <v>18573.7147</v>
      </c>
    </row>
    <row r="199" spans="1:18">
      <c r="A199" s="4" t="s">
        <v>24</v>
      </c>
      <c r="B199" s="4" t="s">
        <v>203</v>
      </c>
      <c r="C199" s="4" t="s">
        <v>228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7">
        <f>SUM(D199:Q199)</f>
        <v>0</v>
      </c>
    </row>
    <row r="200" spans="1:18">
      <c r="A200" s="4" t="s">
        <v>24</v>
      </c>
      <c r="B200" s="4" t="s">
        <v>203</v>
      </c>
      <c r="C200" s="4" t="s">
        <v>229</v>
      </c>
      <c r="D200" s="5">
        <v>6.5495</v>
      </c>
      <c r="E200" s="5">
        <v>0</v>
      </c>
      <c r="F200" s="5">
        <v>0</v>
      </c>
      <c r="G200" s="5">
        <v>2605.6</v>
      </c>
      <c r="H200" s="5">
        <v>0</v>
      </c>
      <c r="I200" s="5">
        <v>10.8495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7">
        <f>SUM(D200:Q200)</f>
        <v>2622.999</v>
      </c>
    </row>
    <row r="201" spans="1:18">
      <c r="A201" s="4" t="s">
        <v>24</v>
      </c>
      <c r="B201" s="4" t="s">
        <v>203</v>
      </c>
      <c r="C201" s="4" t="s">
        <v>230</v>
      </c>
      <c r="D201" s="5">
        <v>12.0728</v>
      </c>
      <c r="E201" s="5">
        <v>0</v>
      </c>
      <c r="F201" s="5">
        <v>0</v>
      </c>
      <c r="G201" s="5">
        <v>5198.8</v>
      </c>
      <c r="H201" s="5">
        <v>0</v>
      </c>
      <c r="I201" s="5">
        <v>419.8965</v>
      </c>
      <c r="J201" s="5">
        <v>8097.0816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7">
        <f>SUM(D201:Q201)</f>
        <v>13727.8509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H3 C2 I2 I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hesheng164</cp:lastModifiedBy>
  <dcterms:created xsi:type="dcterms:W3CDTF">2022-09-28T06:10:00Z</dcterms:created>
  <dcterms:modified xsi:type="dcterms:W3CDTF">2026-07-01T07:44:05Z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2052-11.8.2.12089</vt:lpwstr>
  </property>
</Properties>
</file>