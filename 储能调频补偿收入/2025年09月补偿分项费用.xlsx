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<sst xmlns="http://schemas.openxmlformats.org/spreadsheetml/2006/main" count="215">
  <si>
    <t>2025年09月补偿分项费用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</si>
  <si>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</si>
  <si>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</si>
  <si>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</si>
  <si>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</si>
  <si>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</si>
  <si>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</si>
  <si>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</si>
  <si>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</si>
  <si>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</si>
  <si>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</si>
  <si>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</si>
  <si>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</si>
  <si>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</si>
  <si>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</si>
  <si>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</si>
  <si>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</si>
  <si>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</si>
  <si>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</si>
  <si>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</si>
  <si>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</si>
  <si>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</si>
  <si>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</si>
  <si>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</si>
  <si>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</si>
  <si>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</si>
  <si>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</si>
  <si>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</si>
  <si>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</si>
  <si>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</si>
  <si>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</si>
  <si>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</si>
  <si>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</si>
  <si>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</si>
  <si>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</si>
  <si>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</si>
  <si>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</si>
  <si>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</si>
  <si>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</si>
  <si>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</si>
  <si>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</si>
  <si>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</si>
  <si>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</si>
  <si>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</si>
  <si>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</si>
  <si>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</si>
  <si>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</si>
  <si>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</si>
  <si>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</si>
  <si>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</si>
  <si>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</si>
  <si>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</si>
  <si>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</si>
  <si>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</si>
  <si>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</si>
  <si>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</si>
  <si>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</si>
  <si>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</si>
  <si>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</si>
  <si>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</si>
  <si>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</si>
  <si>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</si>
  <si>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</si>
  <si>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</si>
  <si>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抽水蓄能</t>
  </si>
  <si>
    <t>宁蓄厂</t>
  </si>
  <si>
    <t>核电</t>
  </si>
  <si>
    <t>秦山厂</t>
  </si>
  <si>
    <t>三门厂</t>
  </si>
  <si>
    <t>燃机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</si>
  <si>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</si>
  <si>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</si>
  <si>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</si>
  <si>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</si>
  <si>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</si>
  <si>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</si>
  <si>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</si>
  <si>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</si>
  <si>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</si>
  <si>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</si>
  <si>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</si>
  <si>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</si>
  <si>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</si>
  <si>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唐绍厂</t>
  </si>
  <si>
    <t>桐燃厂</t>
  </si>
  <si>
    <t>下沙厂</t>
  </si>
  <si>
    <t>萧燃厂</t>
  </si>
  <si>
    <t>新城厂</t>
  </si>
  <si>
    <t>新泓口</t>
  </si>
  <si>
    <t>浔宝厂</t>
  </si>
  <si>
    <t>220kV镇海发电厂</t>
  </si>
  <si>
    <t>光伏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</si>
  <si>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</si>
  <si>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</si>
  <si>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</si>
  <si>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</si>
  <si>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</si>
  <si>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</si>
  <si>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</si>
  <si>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</si>
  <si>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</si>
  <si>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</si>
  <si>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</si>
  <si>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</si>
  <si>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</si>
  <si>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亨泰站</t>
  </si>
  <si>
    <t>宏塔站</t>
  </si>
  <si>
    <t>华博站</t>
  </si>
  <si>
    <t>华塘站</t>
  </si>
  <si>
    <t>华洋光伏站</t>
  </si>
  <si>
    <t>汇核站</t>
  </si>
  <si>
    <t>汇能站</t>
  </si>
  <si>
    <t>嘉厂站</t>
  </si>
  <si>
    <t>佳源站</t>
  </si>
  <si>
    <t>江泰站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</si>
  <si>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</si>
  <si>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</si>
  <si>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</si>
  <si>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</si>
  <si>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</si>
  <si>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</si>
  <si>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</si>
  <si>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</si>
  <si>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</si>
  <si>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</si>
  <si>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</si>
  <si>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</si>
  <si>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</si>
  <si>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</si>
  <si>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</si>
  <si>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</si>
  <si>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</si>
  <si>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</si>
  <si>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</si>
  <si>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</si>
  <si>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</si>
  <si>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</si>
  <si>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</si>
  <si>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</si>
  <si>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</si>
  <si>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</si>
  <si>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</si>
  <si>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唐景站</t>
  </si>
  <si>
    <t>唐屿站</t>
  </si>
  <si>
    <t>唐源站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</si>
  <si>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</si>
  <si>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</si>
  <si>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</si>
  <si>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</si>
  <si>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</si>
  <si>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</si>
  <si>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</si>
  <si>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</si>
  <si>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</si>
  <si>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</si>
  <si>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</si>
  <si>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</si>
  <si>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</si>
  <si>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</si>
  <si>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</si>
  <si>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</si>
  <si>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</si>
  <si>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</si>
  <si>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</si>
  <si>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</si>
  <si>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瓯泰站</t>
  </si>
  <si>
    <t>蛟禾站</t>
  </si>
  <si>
    <t>风电</t>
  </si>
  <si>
    <t>百花场</t>
  </si>
  <si>
    <t>苍海场</t>
  </si>
  <si>
    <t>鼎峰场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</si>
  <si>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</si>
  <si>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</si>
  <si>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</si>
  <si>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</si>
  <si>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</si>
  <si>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</si>
  <si>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</si>
  <si>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</si>
  <si>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</si>
  <si>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</si>
  <si>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</si>
  <si>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</si>
  <si>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</si>
  <si>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</si>
  <si>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电化学储能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</si>
  <si>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</si>
  <si>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</si>
  <si>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</si>
  <si>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</si>
  <si>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</si>
  <si>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</si>
  <si>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</si>
  <si>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</si>
  <si>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</si>
  <si>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</si>
  <si>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</si>
  <si>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</si>
  <si>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</si>
  <si>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</si>
  <si>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</si>
  <si>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</si>
  <si>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</si>
  <si>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</si>
  <si>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</si>
  <si>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</si>
  <si>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</si>
  <si>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</si>
  <si>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</si>
  <si>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</si>
  <si>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</si>
  <si>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</si>
  <si>
    <t>虚拟电厂</t>
  </si>
  <si>
    <t>华能浙江能源聚合中心</t>
  </si>
  <si>
    <t>浙能虚拟能源聚合中心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</si>
</sst>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7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4" borderId="4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4" fillId="18" borderId="3" applyNumberFormat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5"/>
  <sheetViews>
    <sheetView tabSelected="1" topLeftCell="F1" workbookViewId="0">
      <selection activeCell="R4" sqref="R4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2.62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4" t="s">
        <v>4</v>
      </c>
      <c r="H2" s="5" t="s">
        <v>5</v>
      </c>
      <c r="I2" s="4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="1" customFormat="1" spans="1:18">
      <c r="A3" s="3" t="s">
        <v>16</v>
      </c>
      <c r="B3" s="3" t="s">
        <v>17</v>
      </c>
      <c r="C3" s="6" t="s">
        <v>18</v>
      </c>
      <c r="D3" s="3" t="s">
        <v>19</v>
      </c>
      <c r="E3" s="3" t="s">
        <v>20</v>
      </c>
      <c r="F3" s="3" t="s">
        <v>19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21</v>
      </c>
    </row>
    <row r="4" s="1" customFormat="1" spans="1:18">
      <c r="A4" s="3" t="s">
        <v>22</v>
      </c>
      <c r="B4" s="3" t="s">
        <v>22</v>
      </c>
      <c r="C4" s="3" t="s">
        <v>23</v>
      </c>
      <c r="D4" s="6">
        <v>234631.749</v>
      </c>
      <c r="E4" s="6">
        <v>2848767.93230438</v>
      </c>
      <c r="F4" s="6">
        <v>0</v>
      </c>
      <c r="G4" s="6">
        <v>2058501.17938232</v>
      </c>
      <c r="H4" s="6">
        <v>19482657.628</v>
      </c>
      <c r="I4" s="6">
        <v>3602628.53</v>
      </c>
      <c r="J4" s="6">
        <v>19086588.472229</v>
      </c>
      <c r="K4" s="6">
        <v>36622048.31073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279440</v>
      </c>
      <c r="R4">
        <f>SUM(R5:R185)</f>
        <v>84215263.8016457</v>
      </c>
    </row>
    <row r="5" spans="1:18">
      <c r="A5" s="3" t="s">
        <v>24</v>
      </c>
      <c r="B5" s="3" t="s">
        <v>25</v>
      </c>
      <c r="C5" s="3" t="s">
        <v>26</v>
      </c>
      <c r="D5" s="6">
        <v>10549.7258</v>
      </c>
      <c r="E5" s="6">
        <v>0</v>
      </c>
      <c r="F5" s="6">
        <v>0</v>
      </c>
      <c r="G5" s="6">
        <v>47011.6015625</v>
      </c>
      <c r="H5" s="6">
        <v>0</v>
      </c>
      <c r="I5" s="6">
        <v>0</v>
      </c>
      <c r="J5" s="6">
        <v>696913.8125</v>
      </c>
      <c r="K5" s="6">
        <v>1379500.5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>
        <f>SUM(D5:Q5)</f>
        <v>2133975.6398625</v>
      </c>
    </row>
    <row r="6" spans="1:18">
      <c r="A6" s="3" t="s">
        <v>24</v>
      </c>
      <c r="B6" s="3" t="s">
        <v>25</v>
      </c>
      <c r="C6" s="3" t="s">
        <v>27</v>
      </c>
      <c r="D6" s="6">
        <v>5998.0142</v>
      </c>
      <c r="E6" s="6">
        <v>0</v>
      </c>
      <c r="F6" s="6">
        <v>0</v>
      </c>
      <c r="G6" s="6">
        <v>0</v>
      </c>
      <c r="H6" s="6">
        <v>0</v>
      </c>
      <c r="I6" s="6">
        <v>215.25</v>
      </c>
      <c r="J6" s="6">
        <v>442723.0625</v>
      </c>
      <c r="K6" s="6">
        <v>857860.5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>
        <f t="shared" ref="R6:R37" si="0">SUM(D6:Q6)</f>
        <v>1306796.8267</v>
      </c>
    </row>
    <row r="7" spans="1:18">
      <c r="A7" s="3" t="s">
        <v>24</v>
      </c>
      <c r="B7" s="3" t="s">
        <v>25</v>
      </c>
      <c r="C7" s="3" t="s">
        <v>28</v>
      </c>
      <c r="D7" s="6">
        <v>10045.9067</v>
      </c>
      <c r="E7" s="6">
        <v>0</v>
      </c>
      <c r="F7" s="6">
        <v>0</v>
      </c>
      <c r="G7" s="6">
        <v>208585.59375</v>
      </c>
      <c r="H7" s="6">
        <v>0</v>
      </c>
      <c r="I7" s="6">
        <v>0</v>
      </c>
      <c r="J7" s="6">
        <v>734968.5</v>
      </c>
      <c r="K7" s="6">
        <v>857893.5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f t="shared" si="0"/>
        <v>1811493.50045</v>
      </c>
    </row>
    <row r="8" spans="1:18">
      <c r="A8" s="3" t="s">
        <v>24</v>
      </c>
      <c r="B8" s="3" t="s">
        <v>25</v>
      </c>
      <c r="C8" s="3" t="s">
        <v>29</v>
      </c>
      <c r="D8" s="6">
        <v>3933.8527</v>
      </c>
      <c r="E8" s="6">
        <v>0</v>
      </c>
      <c r="F8" s="6">
        <v>0</v>
      </c>
      <c r="G8" s="6">
        <v>44602</v>
      </c>
      <c r="H8" s="6">
        <v>0</v>
      </c>
      <c r="I8" s="6">
        <v>0</v>
      </c>
      <c r="J8" s="6">
        <v>348010</v>
      </c>
      <c r="K8" s="6">
        <v>327932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>
        <f t="shared" si="0"/>
        <v>724477.8527</v>
      </c>
    </row>
    <row r="9" spans="1:18">
      <c r="A9" s="3" t="s">
        <v>24</v>
      </c>
      <c r="B9" s="3" t="s">
        <v>25</v>
      </c>
      <c r="C9" s="3" t="s">
        <v>30</v>
      </c>
      <c r="D9" s="6">
        <v>2270.3872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560470.5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>
        <f t="shared" si="0"/>
        <v>562740.8872</v>
      </c>
    </row>
    <row r="10" spans="1:18">
      <c r="A10" s="3" t="s">
        <v>24</v>
      </c>
      <c r="B10" s="3" t="s">
        <v>25</v>
      </c>
      <c r="C10" s="3" t="s">
        <v>31</v>
      </c>
      <c r="D10" s="6">
        <v>8732.5427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714030.4375</v>
      </c>
      <c r="K10" s="6">
        <v>1175185.5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>
        <f t="shared" si="0"/>
        <v>1897948.4802</v>
      </c>
    </row>
    <row r="11" spans="1:18">
      <c r="A11" s="3" t="s">
        <v>24</v>
      </c>
      <c r="B11" s="3" t="s">
        <v>25</v>
      </c>
      <c r="C11" s="3" t="s">
        <v>32</v>
      </c>
      <c r="D11" s="6">
        <v>4161.0234</v>
      </c>
      <c r="E11" s="6">
        <v>0</v>
      </c>
      <c r="F11" s="6">
        <v>0</v>
      </c>
      <c r="G11" s="6">
        <v>54035.19921875</v>
      </c>
      <c r="H11" s="6">
        <v>0</v>
      </c>
      <c r="I11" s="6">
        <v>140356.8</v>
      </c>
      <c r="J11" s="6">
        <v>251011.234375</v>
      </c>
      <c r="K11" s="6">
        <v>1434336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>
        <f t="shared" si="0"/>
        <v>1883900.25699375</v>
      </c>
    </row>
    <row r="12" spans="1:18">
      <c r="A12" s="3" t="s">
        <v>24</v>
      </c>
      <c r="B12" s="3" t="s">
        <v>25</v>
      </c>
      <c r="C12" s="3" t="s">
        <v>33</v>
      </c>
      <c r="D12" s="6">
        <v>6616.4263</v>
      </c>
      <c r="E12" s="6">
        <v>0</v>
      </c>
      <c r="F12" s="6">
        <v>0</v>
      </c>
      <c r="G12" s="6">
        <v>31807.19921875</v>
      </c>
      <c r="H12" s="6">
        <v>0</v>
      </c>
      <c r="I12" s="6">
        <v>0</v>
      </c>
      <c r="J12" s="6">
        <v>454621.1875</v>
      </c>
      <c r="K12" s="6">
        <v>877882.5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f t="shared" si="0"/>
        <v>1370927.31301875</v>
      </c>
    </row>
    <row r="13" spans="1:18">
      <c r="A13" s="3" t="s">
        <v>24</v>
      </c>
      <c r="B13" s="3" t="s">
        <v>25</v>
      </c>
      <c r="C13" s="3" t="s">
        <v>34</v>
      </c>
      <c r="D13" s="6">
        <v>2354.7115</v>
      </c>
      <c r="E13" s="6">
        <v>0</v>
      </c>
      <c r="F13" s="6">
        <v>0</v>
      </c>
      <c r="G13" s="6">
        <v>0</v>
      </c>
      <c r="H13" s="6">
        <v>0</v>
      </c>
      <c r="I13" s="6">
        <v>11199.9</v>
      </c>
      <c r="J13" s="6">
        <v>0</v>
      </c>
      <c r="K13" s="6">
        <v>685724.5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f t="shared" si="0"/>
        <v>699279.1115</v>
      </c>
    </row>
    <row r="14" spans="1:18">
      <c r="A14" s="3" t="s">
        <v>24</v>
      </c>
      <c r="B14" s="3" t="s">
        <v>25</v>
      </c>
      <c r="C14" s="3" t="s">
        <v>35</v>
      </c>
      <c r="D14" s="6">
        <v>7220.0712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704020</v>
      </c>
      <c r="K14" s="6">
        <v>826074.5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>
        <f t="shared" si="0"/>
        <v>1537314.5712</v>
      </c>
    </row>
    <row r="15" spans="1:18">
      <c r="A15" s="3" t="s">
        <v>24</v>
      </c>
      <c r="B15" s="3" t="s">
        <v>25</v>
      </c>
      <c r="C15" s="3" t="s">
        <v>36</v>
      </c>
      <c r="D15" s="6">
        <v>23235.7716</v>
      </c>
      <c r="E15" s="6">
        <v>0</v>
      </c>
      <c r="F15" s="6">
        <v>0</v>
      </c>
      <c r="G15" s="6">
        <v>190706.40625</v>
      </c>
      <c r="H15" s="6">
        <v>0</v>
      </c>
      <c r="I15" s="6">
        <v>55.35</v>
      </c>
      <c r="J15" s="6">
        <v>1631114.75</v>
      </c>
      <c r="K15" s="6">
        <v>4168055.5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>
        <f t="shared" si="0"/>
        <v>6013167.77785</v>
      </c>
    </row>
    <row r="16" spans="1:18">
      <c r="A16" s="3" t="s">
        <v>24</v>
      </c>
      <c r="B16" s="3" t="s">
        <v>25</v>
      </c>
      <c r="C16" s="3" t="s">
        <v>37</v>
      </c>
      <c r="D16" s="6">
        <v>3554.9341</v>
      </c>
      <c r="E16" s="6">
        <v>0</v>
      </c>
      <c r="F16" s="6">
        <v>0</v>
      </c>
      <c r="G16" s="6">
        <v>70037.6015625</v>
      </c>
      <c r="H16" s="6">
        <v>0</v>
      </c>
      <c r="I16" s="6">
        <v>3597.6</v>
      </c>
      <c r="J16" s="6">
        <v>232298.546875</v>
      </c>
      <c r="K16" s="6">
        <v>549234.5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>
        <f t="shared" si="0"/>
        <v>858723.1825375</v>
      </c>
    </row>
    <row r="17" spans="1:18">
      <c r="A17" s="3" t="s">
        <v>24</v>
      </c>
      <c r="B17" s="3" t="s">
        <v>25</v>
      </c>
      <c r="C17" s="3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110745.3</v>
      </c>
      <c r="J17" s="6">
        <v>0</v>
      </c>
      <c r="K17" s="6">
        <v>187390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>
        <f t="shared" si="0"/>
        <v>298135.3</v>
      </c>
    </row>
    <row r="18" spans="1:18">
      <c r="A18" s="3" t="s">
        <v>24</v>
      </c>
      <c r="B18" s="3" t="s">
        <v>25</v>
      </c>
      <c r="C18" s="3" t="s">
        <v>39</v>
      </c>
      <c r="D18" s="6">
        <v>11865.9012</v>
      </c>
      <c r="E18" s="6">
        <v>0</v>
      </c>
      <c r="F18" s="6">
        <v>0</v>
      </c>
      <c r="G18" s="6">
        <v>61288.3984375</v>
      </c>
      <c r="H18" s="6">
        <v>0</v>
      </c>
      <c r="I18" s="6">
        <v>22751.4</v>
      </c>
      <c r="J18" s="6">
        <v>910440.3125</v>
      </c>
      <c r="K18" s="6">
        <v>2430200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>
        <f t="shared" si="0"/>
        <v>3436546.0121375</v>
      </c>
    </row>
    <row r="19" spans="1:18">
      <c r="A19" s="3" t="s">
        <v>24</v>
      </c>
      <c r="B19" s="3" t="s">
        <v>25</v>
      </c>
      <c r="C19" s="3" t="s">
        <v>40</v>
      </c>
      <c r="D19" s="6">
        <v>2285.8956</v>
      </c>
      <c r="E19" s="6">
        <v>0</v>
      </c>
      <c r="F19" s="6">
        <v>0</v>
      </c>
      <c r="G19" s="6">
        <v>0</v>
      </c>
      <c r="H19" s="6">
        <v>0</v>
      </c>
      <c r="I19" s="6">
        <v>6656.7</v>
      </c>
      <c r="J19" s="6">
        <v>228304.125</v>
      </c>
      <c r="K19" s="6">
        <v>406459.5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7">
        <f t="shared" si="0"/>
        <v>643706.2206</v>
      </c>
    </row>
    <row r="20" spans="1:18">
      <c r="A20" s="3" t="s">
        <v>24</v>
      </c>
      <c r="B20" s="3" t="s">
        <v>25</v>
      </c>
      <c r="C20" s="3" t="s">
        <v>41</v>
      </c>
      <c r="D20" s="6">
        <v>1999.9069</v>
      </c>
      <c r="E20" s="6">
        <v>0</v>
      </c>
      <c r="F20" s="6">
        <v>0</v>
      </c>
      <c r="G20" s="6">
        <v>0</v>
      </c>
      <c r="H20" s="6">
        <v>0</v>
      </c>
      <c r="I20" s="6">
        <v>2356.95</v>
      </c>
      <c r="J20" s="6">
        <v>406734.90625</v>
      </c>
      <c r="K20" s="6">
        <v>588199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f t="shared" si="0"/>
        <v>999290.76315</v>
      </c>
    </row>
    <row r="21" spans="1:18">
      <c r="A21" s="3" t="s">
        <v>24</v>
      </c>
      <c r="B21" s="3" t="s">
        <v>25</v>
      </c>
      <c r="C21" s="3" t="s">
        <v>42</v>
      </c>
      <c r="D21" s="6">
        <v>12106.891</v>
      </c>
      <c r="E21" s="6">
        <v>0</v>
      </c>
      <c r="F21" s="6">
        <v>0</v>
      </c>
      <c r="G21" s="6">
        <v>108872.796875</v>
      </c>
      <c r="H21" s="6">
        <v>0</v>
      </c>
      <c r="I21" s="6">
        <v>0</v>
      </c>
      <c r="J21" s="6">
        <v>928676.125</v>
      </c>
      <c r="K21" s="6">
        <v>1683032.5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7">
        <f t="shared" si="0"/>
        <v>2732688.312875</v>
      </c>
    </row>
    <row r="22" spans="1:18">
      <c r="A22" s="3" t="s">
        <v>24</v>
      </c>
      <c r="B22" s="3" t="s">
        <v>25</v>
      </c>
      <c r="C22" s="3" t="s">
        <v>43</v>
      </c>
      <c r="D22" s="6">
        <v>11980.2478</v>
      </c>
      <c r="E22" s="6">
        <v>0</v>
      </c>
      <c r="F22" s="6">
        <v>0</v>
      </c>
      <c r="G22" s="6">
        <v>0</v>
      </c>
      <c r="H22" s="6">
        <v>0</v>
      </c>
      <c r="I22" s="6">
        <v>4321.35</v>
      </c>
      <c r="J22" s="6">
        <v>1353739.375</v>
      </c>
      <c r="K22" s="6">
        <v>2426149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7">
        <f t="shared" si="0"/>
        <v>3796189.9728</v>
      </c>
    </row>
    <row r="23" spans="1:18">
      <c r="A23" s="3" t="s">
        <v>24</v>
      </c>
      <c r="B23" s="3" t="s">
        <v>25</v>
      </c>
      <c r="C23" s="3" t="s">
        <v>44</v>
      </c>
      <c r="D23" s="6">
        <v>10783.3423</v>
      </c>
      <c r="E23" s="6">
        <v>0</v>
      </c>
      <c r="F23" s="6">
        <v>0</v>
      </c>
      <c r="G23" s="6">
        <v>298613.59375</v>
      </c>
      <c r="H23" s="6">
        <v>0</v>
      </c>
      <c r="I23" s="6">
        <v>0</v>
      </c>
      <c r="J23" s="6">
        <v>737740.5</v>
      </c>
      <c r="K23" s="6">
        <v>1117999.5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f t="shared" si="0"/>
        <v>2165136.93605</v>
      </c>
    </row>
    <row r="24" spans="1:18">
      <c r="A24" s="3" t="s">
        <v>24</v>
      </c>
      <c r="B24" s="3" t="s">
        <v>25</v>
      </c>
      <c r="C24" s="3" t="s">
        <v>45</v>
      </c>
      <c r="D24" s="6">
        <v>14182.5539</v>
      </c>
      <c r="E24" s="6">
        <v>0</v>
      </c>
      <c r="F24" s="6">
        <v>0</v>
      </c>
      <c r="G24" s="6">
        <v>64890</v>
      </c>
      <c r="H24" s="6">
        <v>0</v>
      </c>
      <c r="I24" s="6">
        <v>0</v>
      </c>
      <c r="J24" s="6">
        <v>808009.625</v>
      </c>
      <c r="K24" s="6">
        <v>1306636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7">
        <f t="shared" si="0"/>
        <v>2193718.1789</v>
      </c>
    </row>
    <row r="25" spans="1:18">
      <c r="A25" s="3" t="s">
        <v>24</v>
      </c>
      <c r="B25" s="3" t="s">
        <v>25</v>
      </c>
      <c r="C25" s="3" t="s">
        <v>46</v>
      </c>
      <c r="D25" s="6">
        <v>9586.8437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739449.5</v>
      </c>
      <c r="K25" s="6">
        <v>1207593.5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f t="shared" si="0"/>
        <v>1956629.8437</v>
      </c>
    </row>
    <row r="26" spans="1:18">
      <c r="A26" s="3" t="s">
        <v>24</v>
      </c>
      <c r="B26" s="3" t="s">
        <v>25</v>
      </c>
      <c r="C26" s="3" t="s">
        <v>47</v>
      </c>
      <c r="D26" s="6">
        <v>305.5583</v>
      </c>
      <c r="E26" s="6">
        <v>0</v>
      </c>
      <c r="F26" s="6">
        <v>0</v>
      </c>
      <c r="G26" s="6">
        <v>0</v>
      </c>
      <c r="H26" s="6">
        <v>0</v>
      </c>
      <c r="I26" s="6">
        <v>0.75</v>
      </c>
      <c r="J26" s="6">
        <v>0</v>
      </c>
      <c r="K26" s="6">
        <v>516241.5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f t="shared" si="0"/>
        <v>516547.8083</v>
      </c>
    </row>
    <row r="27" spans="1:18">
      <c r="A27" s="3" t="s">
        <v>24</v>
      </c>
      <c r="B27" s="3" t="s">
        <v>25</v>
      </c>
      <c r="C27" s="3" t="s">
        <v>48</v>
      </c>
      <c r="D27" s="6">
        <v>5266.9435</v>
      </c>
      <c r="E27" s="6">
        <v>0</v>
      </c>
      <c r="F27" s="6">
        <v>0</v>
      </c>
      <c r="G27" s="6">
        <v>42590.3984375</v>
      </c>
      <c r="H27" s="6">
        <v>0</v>
      </c>
      <c r="I27" s="6">
        <v>164.4</v>
      </c>
      <c r="J27" s="6">
        <v>478385.5</v>
      </c>
      <c r="K27" s="6">
        <v>1131183.5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7">
        <f t="shared" si="0"/>
        <v>1657590.7419375</v>
      </c>
    </row>
    <row r="28" spans="1:18">
      <c r="A28" s="3" t="s">
        <v>24</v>
      </c>
      <c r="B28" s="3" t="s">
        <v>25</v>
      </c>
      <c r="C28" s="3" t="s">
        <v>49</v>
      </c>
      <c r="D28" s="6">
        <v>2632.3408</v>
      </c>
      <c r="E28" s="6">
        <v>0</v>
      </c>
      <c r="F28" s="6">
        <v>0</v>
      </c>
      <c r="G28" s="6">
        <v>43360.80078125</v>
      </c>
      <c r="H28" s="6">
        <v>0</v>
      </c>
      <c r="I28" s="6">
        <v>1684.5</v>
      </c>
      <c r="J28" s="6">
        <v>232219.34375</v>
      </c>
      <c r="K28" s="6">
        <v>358896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7">
        <f t="shared" si="0"/>
        <v>638792.98533125</v>
      </c>
    </row>
    <row r="29" spans="1:18">
      <c r="A29" s="3" t="s">
        <v>24</v>
      </c>
      <c r="B29" s="3" t="s">
        <v>25</v>
      </c>
      <c r="C29" s="3" t="s">
        <v>50</v>
      </c>
      <c r="D29" s="6">
        <v>3596.3158</v>
      </c>
      <c r="E29" s="6">
        <v>0</v>
      </c>
      <c r="F29" s="6">
        <v>0</v>
      </c>
      <c r="G29" s="6">
        <v>36148.3984375</v>
      </c>
      <c r="H29" s="6">
        <v>0</v>
      </c>
      <c r="I29" s="6">
        <v>7214.1</v>
      </c>
      <c r="J29" s="6">
        <v>412800.3125</v>
      </c>
      <c r="K29" s="6">
        <v>893495.5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7">
        <f t="shared" si="0"/>
        <v>1353254.6267375</v>
      </c>
    </row>
    <row r="30" spans="1:18">
      <c r="A30" s="3" t="s">
        <v>24</v>
      </c>
      <c r="B30" s="3" t="s">
        <v>25</v>
      </c>
      <c r="C30" s="3" t="s">
        <v>51</v>
      </c>
      <c r="D30" s="6">
        <v>2712.7939</v>
      </c>
      <c r="E30" s="6">
        <v>0</v>
      </c>
      <c r="F30" s="6">
        <v>0</v>
      </c>
      <c r="G30" s="6">
        <v>34380.3984375</v>
      </c>
      <c r="H30" s="6">
        <v>0</v>
      </c>
      <c r="I30" s="6">
        <v>6429</v>
      </c>
      <c r="J30" s="6">
        <v>232224.296875</v>
      </c>
      <c r="K30" s="6">
        <v>364596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7">
        <f t="shared" si="0"/>
        <v>640342.4892125</v>
      </c>
    </row>
    <row r="31" spans="1:18">
      <c r="A31" s="3" t="s">
        <v>24</v>
      </c>
      <c r="B31" s="3" t="s">
        <v>25</v>
      </c>
      <c r="C31" s="3" t="s">
        <v>52</v>
      </c>
      <c r="D31" s="6">
        <v>10322.8452</v>
      </c>
      <c r="E31" s="6">
        <v>0</v>
      </c>
      <c r="F31" s="6">
        <v>0</v>
      </c>
      <c r="G31" s="6">
        <v>109761.203125</v>
      </c>
      <c r="H31" s="6">
        <v>0</v>
      </c>
      <c r="I31" s="6">
        <v>553.65</v>
      </c>
      <c r="J31" s="6">
        <v>812971.25</v>
      </c>
      <c r="K31" s="6">
        <v>1850908.5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7">
        <f t="shared" si="0"/>
        <v>2784517.448325</v>
      </c>
    </row>
    <row r="32" spans="1:18">
      <c r="A32" s="3" t="s">
        <v>24</v>
      </c>
      <c r="B32" s="3" t="s">
        <v>25</v>
      </c>
      <c r="C32" s="3" t="s">
        <v>53</v>
      </c>
      <c r="D32" s="6">
        <v>19338.8926</v>
      </c>
      <c r="E32" s="6">
        <v>0</v>
      </c>
      <c r="F32" s="6">
        <v>0</v>
      </c>
      <c r="G32" s="6">
        <v>306049.59375</v>
      </c>
      <c r="H32" s="6">
        <v>0</v>
      </c>
      <c r="I32" s="6">
        <v>0</v>
      </c>
      <c r="J32" s="6">
        <v>1430313.125</v>
      </c>
      <c r="K32" s="6">
        <v>2213611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7">
        <f t="shared" si="0"/>
        <v>3969312.61135</v>
      </c>
    </row>
    <row r="33" spans="1:18">
      <c r="A33" s="3" t="s">
        <v>24</v>
      </c>
      <c r="B33" s="3" t="s">
        <v>25</v>
      </c>
      <c r="C33" s="3" t="s">
        <v>54</v>
      </c>
      <c r="D33" s="6">
        <v>4203.5682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461247.59375</v>
      </c>
      <c r="K33" s="6">
        <v>667328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7">
        <f t="shared" si="0"/>
        <v>1132779.16195</v>
      </c>
    </row>
    <row r="34" spans="1:18">
      <c r="A34" s="3" t="s">
        <v>24</v>
      </c>
      <c r="B34" s="3" t="s">
        <v>55</v>
      </c>
      <c r="C34" s="3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25.2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7">
        <f t="shared" si="0"/>
        <v>25.2</v>
      </c>
    </row>
    <row r="35" spans="1:18">
      <c r="A35" s="3" t="s">
        <v>24</v>
      </c>
      <c r="B35" s="3" t="s">
        <v>55</v>
      </c>
      <c r="C35" s="3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3042</v>
      </c>
      <c r="I35" s="6">
        <v>10.8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7">
        <f t="shared" si="0"/>
        <v>3052.8</v>
      </c>
    </row>
    <row r="36" spans="1:18">
      <c r="A36" s="3" t="s">
        <v>24</v>
      </c>
      <c r="B36" s="3" t="s">
        <v>55</v>
      </c>
      <c r="C36" s="3" t="s">
        <v>58</v>
      </c>
      <c r="D36" s="6">
        <v>1.2062</v>
      </c>
      <c r="E36" s="6">
        <v>0</v>
      </c>
      <c r="F36" s="6">
        <v>0</v>
      </c>
      <c r="G36" s="6">
        <v>0</v>
      </c>
      <c r="H36" s="6">
        <v>11094.628</v>
      </c>
      <c r="I36" s="6">
        <v>2.4</v>
      </c>
      <c r="J36" s="6">
        <v>0</v>
      </c>
      <c r="K36" s="6">
        <v>15310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40000</v>
      </c>
      <c r="R36" s="7">
        <f t="shared" si="0"/>
        <v>66408.2342</v>
      </c>
    </row>
    <row r="37" spans="1:18">
      <c r="A37" s="3" t="s">
        <v>24</v>
      </c>
      <c r="B37" s="3" t="s">
        <v>55</v>
      </c>
      <c r="C37" s="3" t="s">
        <v>59</v>
      </c>
      <c r="D37" s="6">
        <v>3.9372</v>
      </c>
      <c r="E37" s="6">
        <v>0</v>
      </c>
      <c r="F37" s="6">
        <v>0</v>
      </c>
      <c r="G37" s="6">
        <v>0</v>
      </c>
      <c r="H37" s="6">
        <v>99675</v>
      </c>
      <c r="I37" s="6">
        <v>1007.25</v>
      </c>
      <c r="J37" s="6">
        <v>19099</v>
      </c>
      <c r="K37" s="6">
        <v>15988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7">
        <f t="shared" si="0"/>
        <v>175773.1872</v>
      </c>
    </row>
    <row r="38" spans="1:18">
      <c r="A38" s="3" t="s">
        <v>24</v>
      </c>
      <c r="B38" s="3" t="s">
        <v>55</v>
      </c>
      <c r="C38" s="3" t="s">
        <v>60</v>
      </c>
      <c r="D38" s="6">
        <v>1.806</v>
      </c>
      <c r="E38" s="6">
        <v>0</v>
      </c>
      <c r="F38" s="6">
        <v>0</v>
      </c>
      <c r="G38" s="6">
        <v>0</v>
      </c>
      <c r="H38" s="6">
        <v>0</v>
      </c>
      <c r="I38" s="6">
        <v>358.5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7">
        <f t="shared" ref="R38:R69" si="1">SUM(D38:Q38)</f>
        <v>40360.306</v>
      </c>
    </row>
    <row r="39" spans="1:18">
      <c r="A39" s="3" t="s">
        <v>24</v>
      </c>
      <c r="B39" s="3" t="s">
        <v>55</v>
      </c>
      <c r="C39" s="3" t="s">
        <v>61</v>
      </c>
      <c r="D39" s="6">
        <v>16.8991</v>
      </c>
      <c r="E39" s="6">
        <v>0</v>
      </c>
      <c r="F39" s="6">
        <v>0</v>
      </c>
      <c r="G39" s="6">
        <v>0</v>
      </c>
      <c r="H39" s="6">
        <v>316800</v>
      </c>
      <c r="I39" s="6">
        <v>4065.75</v>
      </c>
      <c r="J39" s="6">
        <v>57028</v>
      </c>
      <c r="K39" s="6">
        <v>68162.5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7">
        <f t="shared" si="1"/>
        <v>486073.1491</v>
      </c>
    </row>
    <row r="40" spans="1:18">
      <c r="A40" s="3" t="s">
        <v>24</v>
      </c>
      <c r="B40" s="3" t="s">
        <v>55</v>
      </c>
      <c r="C40" s="3" t="s">
        <v>62</v>
      </c>
      <c r="D40" s="6">
        <v>1.7282</v>
      </c>
      <c r="E40" s="6">
        <v>0</v>
      </c>
      <c r="F40" s="6">
        <v>0</v>
      </c>
      <c r="G40" s="6">
        <v>0</v>
      </c>
      <c r="H40" s="6">
        <v>173925</v>
      </c>
      <c r="I40" s="6">
        <v>1163.7</v>
      </c>
      <c r="J40" s="6">
        <v>26402.099609375</v>
      </c>
      <c r="K40" s="6">
        <v>75057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40000</v>
      </c>
      <c r="R40" s="7">
        <f t="shared" si="1"/>
        <v>316549.527809375</v>
      </c>
    </row>
    <row r="41" spans="1:18">
      <c r="A41" s="3" t="s">
        <v>24</v>
      </c>
      <c r="B41" s="3" t="s">
        <v>55</v>
      </c>
      <c r="C41" s="3" t="s">
        <v>63</v>
      </c>
      <c r="D41" s="6">
        <v>0.7174</v>
      </c>
      <c r="E41" s="6">
        <v>0</v>
      </c>
      <c r="F41" s="6">
        <v>0</v>
      </c>
      <c r="G41" s="6">
        <v>2427.60009765625</v>
      </c>
      <c r="H41" s="6">
        <v>0</v>
      </c>
      <c r="I41" s="6">
        <v>24.6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7">
        <f t="shared" si="1"/>
        <v>2452.91749765625</v>
      </c>
    </row>
    <row r="42" spans="1:18">
      <c r="A42" s="3" t="s">
        <v>24</v>
      </c>
      <c r="B42" s="3" t="s">
        <v>64</v>
      </c>
      <c r="C42" s="3" t="s">
        <v>65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887.4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79440</v>
      </c>
      <c r="R42" s="7">
        <f t="shared" si="1"/>
        <v>80327.4</v>
      </c>
    </row>
    <row r="43" spans="1:18">
      <c r="A43" s="3" t="s">
        <v>24</v>
      </c>
      <c r="B43" s="3" t="s">
        <v>66</v>
      </c>
      <c r="C43" s="3" t="s">
        <v>67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120320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7">
        <f t="shared" si="1"/>
        <v>120320</v>
      </c>
    </row>
    <row r="44" spans="1:18">
      <c r="A44" s="3" t="s">
        <v>24</v>
      </c>
      <c r="B44" s="3" t="s">
        <v>66</v>
      </c>
      <c r="C44" s="3" t="s">
        <v>68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709778.5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7">
        <f t="shared" si="1"/>
        <v>709778.5</v>
      </c>
    </row>
    <row r="45" spans="1:18">
      <c r="A45" s="3" t="s">
        <v>24</v>
      </c>
      <c r="B45" s="3" t="s">
        <v>69</v>
      </c>
      <c r="C45" s="3" t="s">
        <v>70</v>
      </c>
      <c r="D45" s="6">
        <v>5806.1014</v>
      </c>
      <c r="E45" s="6">
        <v>459408.59375</v>
      </c>
      <c r="F45" s="6">
        <v>0</v>
      </c>
      <c r="G45" s="6">
        <v>77032.796875</v>
      </c>
      <c r="H45" s="6">
        <v>4016000</v>
      </c>
      <c r="I45" s="6">
        <v>6960.83</v>
      </c>
      <c r="J45" s="6">
        <v>291953.46875</v>
      </c>
      <c r="K45" s="6">
        <v>344349.8125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7">
        <f t="shared" si="1"/>
        <v>5201511.603275</v>
      </c>
    </row>
    <row r="46" spans="1:18">
      <c r="A46" s="3" t="s">
        <v>24</v>
      </c>
      <c r="B46" s="3" t="s">
        <v>69</v>
      </c>
      <c r="C46" s="3" t="s">
        <v>71</v>
      </c>
      <c r="D46" s="6">
        <v>1442.1452</v>
      </c>
      <c r="E46" s="6">
        <v>35041.76953125</v>
      </c>
      <c r="F46" s="6">
        <v>0</v>
      </c>
      <c r="G46" s="6">
        <v>0</v>
      </c>
      <c r="H46" s="6">
        <v>870200</v>
      </c>
      <c r="I46" s="6">
        <v>6884.35</v>
      </c>
      <c r="J46" s="6">
        <v>83307.90625</v>
      </c>
      <c r="K46" s="6">
        <v>102970.203125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7">
        <f t="shared" si="1"/>
        <v>1099846.37410625</v>
      </c>
    </row>
    <row r="47" spans="1:18">
      <c r="A47" s="3" t="s">
        <v>24</v>
      </c>
      <c r="B47" s="3" t="s">
        <v>69</v>
      </c>
      <c r="C47" s="3" t="s">
        <v>72</v>
      </c>
      <c r="D47" s="6">
        <v>669.0842</v>
      </c>
      <c r="E47" s="6">
        <v>251175.34375</v>
      </c>
      <c r="F47" s="6">
        <v>0</v>
      </c>
      <c r="G47" s="6">
        <v>0</v>
      </c>
      <c r="H47" s="6">
        <v>913500</v>
      </c>
      <c r="I47" s="6">
        <v>13410.75</v>
      </c>
      <c r="J47" s="6">
        <v>135352.4375</v>
      </c>
      <c r="K47" s="6">
        <v>340938.8125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7">
        <f t="shared" si="1"/>
        <v>1655046.42795</v>
      </c>
    </row>
    <row r="48" spans="1:18">
      <c r="A48" s="3" t="s">
        <v>24</v>
      </c>
      <c r="B48" s="3" t="s">
        <v>69</v>
      </c>
      <c r="C48" s="3" t="s">
        <v>73</v>
      </c>
      <c r="D48" s="6">
        <v>2.8771</v>
      </c>
      <c r="E48" s="6">
        <v>0</v>
      </c>
      <c r="F48" s="6">
        <v>0</v>
      </c>
      <c r="G48" s="6">
        <v>0</v>
      </c>
      <c r="H48" s="6">
        <v>28000</v>
      </c>
      <c r="I48" s="6">
        <v>618.22</v>
      </c>
      <c r="J48" s="6">
        <v>259.609985351563</v>
      </c>
      <c r="K48" s="6">
        <v>31783.5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f t="shared" si="1"/>
        <v>60664.2070853516</v>
      </c>
    </row>
    <row r="49" spans="1:18">
      <c r="A49" s="3" t="s">
        <v>24</v>
      </c>
      <c r="B49" s="3" t="s">
        <v>69</v>
      </c>
      <c r="C49" s="3" t="s">
        <v>74</v>
      </c>
      <c r="D49" s="6">
        <v>1253.2864</v>
      </c>
      <c r="E49" s="6">
        <v>175100.8125</v>
      </c>
      <c r="F49" s="6">
        <v>0</v>
      </c>
      <c r="G49" s="6">
        <v>89336.3984375</v>
      </c>
      <c r="H49" s="6">
        <v>1799440</v>
      </c>
      <c r="I49" s="6">
        <v>46266.01</v>
      </c>
      <c r="J49" s="6">
        <v>119799.25</v>
      </c>
      <c r="K49" s="6">
        <v>115177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7">
        <f t="shared" si="1"/>
        <v>2346372.7573375</v>
      </c>
    </row>
    <row r="50" spans="1:18">
      <c r="A50" s="3" t="s">
        <v>24</v>
      </c>
      <c r="B50" s="3" t="s">
        <v>69</v>
      </c>
      <c r="C50" s="3" t="s">
        <v>75</v>
      </c>
      <c r="D50" s="6">
        <v>4.3468</v>
      </c>
      <c r="E50" s="6">
        <v>0</v>
      </c>
      <c r="F50" s="6">
        <v>0</v>
      </c>
      <c r="G50" s="6">
        <v>0</v>
      </c>
      <c r="H50" s="6">
        <v>15800</v>
      </c>
      <c r="I50" s="6">
        <v>2612.75</v>
      </c>
      <c r="J50" s="6">
        <v>438.130004882813</v>
      </c>
      <c r="K50" s="6">
        <v>800.700012207031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f t="shared" si="1"/>
        <v>19655.9268170898</v>
      </c>
    </row>
    <row r="51" spans="1:18">
      <c r="A51" s="3" t="s">
        <v>24</v>
      </c>
      <c r="B51" s="3" t="s">
        <v>69</v>
      </c>
      <c r="C51" s="3" t="s">
        <v>76</v>
      </c>
      <c r="D51" s="6">
        <v>2814.6908</v>
      </c>
      <c r="E51" s="6">
        <v>77166.421875</v>
      </c>
      <c r="F51" s="6">
        <v>0</v>
      </c>
      <c r="G51" s="6">
        <v>36497.19921875</v>
      </c>
      <c r="H51" s="6">
        <v>1584825</v>
      </c>
      <c r="I51" s="6">
        <v>18647.04</v>
      </c>
      <c r="J51" s="6">
        <v>132025.53125</v>
      </c>
      <c r="K51" s="6">
        <v>196844.09375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7">
        <f t="shared" si="1"/>
        <v>2048819.97689375</v>
      </c>
    </row>
    <row r="52" spans="1:18">
      <c r="A52" s="3" t="s">
        <v>24</v>
      </c>
      <c r="B52" s="3" t="s">
        <v>69</v>
      </c>
      <c r="C52" s="3" t="s">
        <v>77</v>
      </c>
      <c r="D52" s="6">
        <v>678.8474</v>
      </c>
      <c r="E52" s="6">
        <v>148309.5625</v>
      </c>
      <c r="F52" s="6">
        <v>0</v>
      </c>
      <c r="G52" s="6">
        <v>0</v>
      </c>
      <c r="H52" s="6">
        <v>1473000</v>
      </c>
      <c r="I52" s="6">
        <v>11023.03</v>
      </c>
      <c r="J52" s="6">
        <v>85856.2578125</v>
      </c>
      <c r="K52" s="6">
        <v>125699.3984375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f t="shared" si="1"/>
        <v>1844567.09615</v>
      </c>
    </row>
    <row r="53" spans="1:18">
      <c r="A53" s="3" t="s">
        <v>24</v>
      </c>
      <c r="B53" s="3" t="s">
        <v>69</v>
      </c>
      <c r="C53" s="3" t="s">
        <v>78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7">
        <f t="shared" si="1"/>
        <v>0</v>
      </c>
    </row>
    <row r="54" spans="1:18">
      <c r="A54" s="3" t="s">
        <v>24</v>
      </c>
      <c r="B54" s="3" t="s">
        <v>69</v>
      </c>
      <c r="C54" s="3" t="s">
        <v>79</v>
      </c>
      <c r="D54" s="6">
        <v>32.3371</v>
      </c>
      <c r="E54" s="6">
        <v>5960.7099609375</v>
      </c>
      <c r="F54" s="6">
        <v>0</v>
      </c>
      <c r="G54" s="6">
        <v>0</v>
      </c>
      <c r="H54" s="6">
        <v>11500</v>
      </c>
      <c r="I54" s="6">
        <v>3791.18</v>
      </c>
      <c r="J54" s="6">
        <v>3130.69995117188</v>
      </c>
      <c r="K54" s="6">
        <v>14709.599609375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f t="shared" si="1"/>
        <v>39124.5266214844</v>
      </c>
    </row>
    <row r="55" spans="1:18">
      <c r="A55" s="3" t="s">
        <v>24</v>
      </c>
      <c r="B55" s="3" t="s">
        <v>69</v>
      </c>
      <c r="C55" s="3" t="s">
        <v>80</v>
      </c>
      <c r="D55" s="6">
        <v>5.3222</v>
      </c>
      <c r="E55" s="6">
        <v>2680.919921875</v>
      </c>
      <c r="F55" s="6">
        <v>0</v>
      </c>
      <c r="G55" s="6">
        <v>0</v>
      </c>
      <c r="H55" s="6">
        <v>22400</v>
      </c>
      <c r="I55" s="6">
        <v>327.38</v>
      </c>
      <c r="J55" s="6">
        <v>777.419982910156</v>
      </c>
      <c r="K55" s="6">
        <v>904.599975585938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7">
        <f t="shared" si="1"/>
        <v>27095.6420803711</v>
      </c>
    </row>
    <row r="56" spans="1:18">
      <c r="A56" s="3" t="s">
        <v>24</v>
      </c>
      <c r="B56" s="3" t="s">
        <v>69</v>
      </c>
      <c r="C56" s="3" t="s">
        <v>81</v>
      </c>
      <c r="D56" s="6">
        <v>207.3966</v>
      </c>
      <c r="E56" s="6">
        <v>35840.33984375</v>
      </c>
      <c r="F56" s="6">
        <v>0</v>
      </c>
      <c r="G56" s="6">
        <v>39956.80078125</v>
      </c>
      <c r="H56" s="6">
        <v>252300</v>
      </c>
      <c r="I56" s="6">
        <v>9844.65</v>
      </c>
      <c r="J56" s="6">
        <v>13693.6396484375</v>
      </c>
      <c r="K56" s="6">
        <v>12634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7">
        <f t="shared" si="1"/>
        <v>364476.826873438</v>
      </c>
    </row>
    <row r="57" spans="1:18">
      <c r="A57" s="3" t="s">
        <v>24</v>
      </c>
      <c r="B57" s="3" t="s">
        <v>69</v>
      </c>
      <c r="C57" s="3" t="s">
        <v>82</v>
      </c>
      <c r="D57" s="6">
        <v>484.2808</v>
      </c>
      <c r="E57" s="6">
        <v>2867.1201171875</v>
      </c>
      <c r="F57" s="6">
        <v>0</v>
      </c>
      <c r="G57" s="6">
        <v>0</v>
      </c>
      <c r="H57" s="6">
        <v>438430</v>
      </c>
      <c r="I57" s="6">
        <v>207.3</v>
      </c>
      <c r="J57" s="6">
        <v>45946.73828125</v>
      </c>
      <c r="K57" s="6">
        <v>21168.80078125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7">
        <f t="shared" si="1"/>
        <v>509104.239979687</v>
      </c>
    </row>
    <row r="58" spans="1:18">
      <c r="A58" s="3" t="s">
        <v>24</v>
      </c>
      <c r="B58" s="3" t="s">
        <v>69</v>
      </c>
      <c r="C58" s="3" t="s">
        <v>83</v>
      </c>
      <c r="D58" s="6">
        <v>2499.1181</v>
      </c>
      <c r="E58" s="6">
        <v>210187.234375</v>
      </c>
      <c r="F58" s="6">
        <v>0</v>
      </c>
      <c r="G58" s="6">
        <v>0</v>
      </c>
      <c r="H58" s="6">
        <v>1084800</v>
      </c>
      <c r="I58" s="6">
        <v>2877.76</v>
      </c>
      <c r="J58" s="6">
        <v>156658.6875</v>
      </c>
      <c r="K58" s="6">
        <v>189364.09375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f t="shared" si="1"/>
        <v>1646386.893725</v>
      </c>
    </row>
    <row r="59" spans="1:18">
      <c r="A59" s="3" t="s">
        <v>24</v>
      </c>
      <c r="B59" s="3" t="s">
        <v>69</v>
      </c>
      <c r="C59" s="3" t="s">
        <v>84</v>
      </c>
      <c r="D59" s="6">
        <v>565.0093</v>
      </c>
      <c r="E59" s="6">
        <v>46202.48828125</v>
      </c>
      <c r="F59" s="6">
        <v>0</v>
      </c>
      <c r="G59" s="6">
        <v>0</v>
      </c>
      <c r="H59" s="6">
        <v>746750</v>
      </c>
      <c r="I59" s="6">
        <v>10758.09</v>
      </c>
      <c r="J59" s="6">
        <v>50851.01171875</v>
      </c>
      <c r="K59" s="6">
        <v>32413.19921875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7">
        <f t="shared" si="1"/>
        <v>887539.79851875</v>
      </c>
    </row>
    <row r="60" spans="1:18">
      <c r="A60" s="3" t="s">
        <v>24</v>
      </c>
      <c r="B60" s="3" t="s">
        <v>69</v>
      </c>
      <c r="C60" s="3" t="s">
        <v>85</v>
      </c>
      <c r="D60" s="6">
        <v>483.2789</v>
      </c>
      <c r="E60" s="6">
        <v>31382.560546875</v>
      </c>
      <c r="F60" s="6">
        <v>0</v>
      </c>
      <c r="G60" s="6">
        <v>17828</v>
      </c>
      <c r="H60" s="6">
        <v>664200</v>
      </c>
      <c r="I60" s="6">
        <v>41803.11</v>
      </c>
      <c r="J60" s="6">
        <v>39204.62890625</v>
      </c>
      <c r="K60" s="6">
        <v>30622.400390625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f t="shared" si="1"/>
        <v>825523.97874375</v>
      </c>
    </row>
    <row r="61" spans="1:18">
      <c r="A61" s="3" t="s">
        <v>24</v>
      </c>
      <c r="B61" s="3" t="s">
        <v>69</v>
      </c>
      <c r="C61" s="3" t="s">
        <v>86</v>
      </c>
      <c r="D61" s="6">
        <v>2910.7248</v>
      </c>
      <c r="E61" s="6">
        <v>236227.1875</v>
      </c>
      <c r="F61" s="6">
        <v>0</v>
      </c>
      <c r="G61" s="6">
        <v>0</v>
      </c>
      <c r="H61" s="6">
        <v>2333376</v>
      </c>
      <c r="I61" s="6">
        <v>27257.27</v>
      </c>
      <c r="J61" s="6">
        <v>166180.421875</v>
      </c>
      <c r="K61" s="6">
        <v>209523.5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7">
        <f t="shared" si="1"/>
        <v>2975475.104175</v>
      </c>
    </row>
    <row r="62" spans="1:18">
      <c r="A62" s="3" t="s">
        <v>24</v>
      </c>
      <c r="B62" s="3" t="s">
        <v>69</v>
      </c>
      <c r="C62" s="3" t="s">
        <v>87</v>
      </c>
      <c r="D62" s="6">
        <v>38.2352</v>
      </c>
      <c r="E62" s="6">
        <v>124.819999694824</v>
      </c>
      <c r="F62" s="6">
        <v>0</v>
      </c>
      <c r="G62" s="6">
        <v>0</v>
      </c>
      <c r="H62" s="6">
        <v>0</v>
      </c>
      <c r="I62" s="6">
        <v>232.05</v>
      </c>
      <c r="J62" s="6">
        <v>2824.580078125</v>
      </c>
      <c r="K62" s="6">
        <v>12663.7998046875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f t="shared" si="1"/>
        <v>15883.4850825073</v>
      </c>
    </row>
    <row r="63" spans="1:18">
      <c r="A63" s="3" t="s">
        <v>24</v>
      </c>
      <c r="B63" s="3" t="s">
        <v>69</v>
      </c>
      <c r="C63" s="3" t="s">
        <v>88</v>
      </c>
      <c r="D63" s="6">
        <v>1367.4848</v>
      </c>
      <c r="E63" s="6">
        <v>63091.87109375</v>
      </c>
      <c r="F63" s="6">
        <v>0</v>
      </c>
      <c r="G63" s="6">
        <v>6370</v>
      </c>
      <c r="H63" s="6">
        <v>1225800</v>
      </c>
      <c r="I63" s="6">
        <v>46933.92</v>
      </c>
      <c r="J63" s="6">
        <v>77181.84375</v>
      </c>
      <c r="K63" s="6">
        <v>87865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7">
        <f t="shared" si="1"/>
        <v>1508610.11964375</v>
      </c>
    </row>
    <row r="64" spans="1:18">
      <c r="A64" s="3" t="s">
        <v>24</v>
      </c>
      <c r="B64" s="3" t="s">
        <v>69</v>
      </c>
      <c r="C64" s="3" t="s">
        <v>89</v>
      </c>
      <c r="D64" s="6">
        <v>158.5811</v>
      </c>
      <c r="E64" s="6">
        <v>8512.3798828125</v>
      </c>
      <c r="F64" s="6">
        <v>0</v>
      </c>
      <c r="G64" s="6">
        <v>0</v>
      </c>
      <c r="H64" s="6">
        <v>184800</v>
      </c>
      <c r="I64" s="6">
        <v>224.4</v>
      </c>
      <c r="J64" s="6">
        <v>14786.2001953125</v>
      </c>
      <c r="K64" s="6">
        <v>13247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f t="shared" si="1"/>
        <v>221728.561178125</v>
      </c>
    </row>
    <row r="65" spans="1:18">
      <c r="A65" s="3" t="s">
        <v>24</v>
      </c>
      <c r="B65" s="3" t="s">
        <v>69</v>
      </c>
      <c r="C65" s="3" t="s">
        <v>90</v>
      </c>
      <c r="D65" s="6">
        <v>1224.5597</v>
      </c>
      <c r="E65" s="6">
        <v>156014.546875</v>
      </c>
      <c r="F65" s="6">
        <v>0</v>
      </c>
      <c r="G65" s="6">
        <v>0</v>
      </c>
      <c r="H65" s="6">
        <v>1213000</v>
      </c>
      <c r="I65" s="6">
        <v>20098.64</v>
      </c>
      <c r="J65" s="6">
        <v>42431.0390625</v>
      </c>
      <c r="K65" s="6">
        <v>201111.296875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f t="shared" si="1"/>
        <v>1633880.0825125</v>
      </c>
    </row>
    <row r="66" spans="1:18">
      <c r="A66" s="3" t="s">
        <v>24</v>
      </c>
      <c r="B66" s="3" t="s">
        <v>91</v>
      </c>
      <c r="C66" s="3" t="s">
        <v>92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6009.2998046875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7">
        <f t="shared" si="1"/>
        <v>6009.2998046875</v>
      </c>
    </row>
    <row r="67" spans="1:18">
      <c r="A67" s="3" t="s">
        <v>24</v>
      </c>
      <c r="B67" s="3" t="s">
        <v>91</v>
      </c>
      <c r="C67" s="3" t="s">
        <v>93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66977.7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7">
        <f t="shared" si="1"/>
        <v>66977.7</v>
      </c>
    </row>
    <row r="68" spans="1:18">
      <c r="A68" s="3" t="s">
        <v>24</v>
      </c>
      <c r="B68" s="3" t="s">
        <v>91</v>
      </c>
      <c r="C68" s="3" t="s">
        <v>94</v>
      </c>
      <c r="D68" s="6">
        <v>0.783</v>
      </c>
      <c r="E68" s="6">
        <v>0</v>
      </c>
      <c r="F68" s="6">
        <v>0</v>
      </c>
      <c r="G68" s="6">
        <v>0</v>
      </c>
      <c r="H68" s="6">
        <v>0</v>
      </c>
      <c r="I68" s="6">
        <v>365.7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7">
        <f t="shared" si="1"/>
        <v>366.483</v>
      </c>
    </row>
    <row r="69" spans="1:18">
      <c r="A69" s="3" t="s">
        <v>24</v>
      </c>
      <c r="B69" s="3" t="s">
        <v>91</v>
      </c>
      <c r="C69" s="3" t="s">
        <v>95</v>
      </c>
      <c r="D69" s="6">
        <v>2.5956</v>
      </c>
      <c r="E69" s="6">
        <v>0</v>
      </c>
      <c r="F69" s="6">
        <v>0</v>
      </c>
      <c r="G69" s="6">
        <v>0</v>
      </c>
      <c r="H69" s="6">
        <v>0</v>
      </c>
      <c r="I69" s="6">
        <v>4.95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7">
        <f t="shared" si="1"/>
        <v>7.5456</v>
      </c>
    </row>
    <row r="70" spans="1:18">
      <c r="A70" s="3" t="s">
        <v>24</v>
      </c>
      <c r="B70" s="3" t="s">
        <v>91</v>
      </c>
      <c r="C70" s="3" t="s">
        <v>96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86.1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7">
        <f t="shared" ref="R70:R101" si="2">SUM(D70:Q70)</f>
        <v>86.1</v>
      </c>
    </row>
    <row r="71" spans="1:18">
      <c r="A71" s="3" t="s">
        <v>24</v>
      </c>
      <c r="B71" s="3" t="s">
        <v>91</v>
      </c>
      <c r="C71" s="3" t="s">
        <v>97</v>
      </c>
      <c r="D71" s="6">
        <v>1.2982</v>
      </c>
      <c r="E71" s="6">
        <v>0</v>
      </c>
      <c r="F71" s="6">
        <v>0</v>
      </c>
      <c r="G71" s="6">
        <v>0</v>
      </c>
      <c r="H71" s="6">
        <v>0</v>
      </c>
      <c r="I71" s="6">
        <v>74.1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7">
        <f t="shared" si="2"/>
        <v>75.3982</v>
      </c>
    </row>
    <row r="72" spans="1:18">
      <c r="A72" s="3" t="s">
        <v>24</v>
      </c>
      <c r="B72" s="3" t="s">
        <v>91</v>
      </c>
      <c r="C72" s="3" t="s">
        <v>98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133.95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7">
        <f t="shared" si="2"/>
        <v>133.95</v>
      </c>
    </row>
    <row r="73" spans="1:18">
      <c r="A73" s="3" t="s">
        <v>24</v>
      </c>
      <c r="B73" s="3" t="s">
        <v>91</v>
      </c>
      <c r="C73" s="3" t="s">
        <v>99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544.2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7">
        <f t="shared" si="2"/>
        <v>544.2</v>
      </c>
    </row>
    <row r="74" spans="1:18">
      <c r="A74" s="3" t="s">
        <v>24</v>
      </c>
      <c r="B74" s="3" t="s">
        <v>91</v>
      </c>
      <c r="C74" s="3" t="s">
        <v>100</v>
      </c>
      <c r="D74" s="6">
        <v>1.6812</v>
      </c>
      <c r="E74" s="6">
        <v>0</v>
      </c>
      <c r="F74" s="6">
        <v>0</v>
      </c>
      <c r="G74" s="6">
        <v>0</v>
      </c>
      <c r="H74" s="6">
        <v>0</v>
      </c>
      <c r="I74" s="6">
        <v>2658.45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7">
        <f t="shared" si="2"/>
        <v>2660.1312</v>
      </c>
    </row>
    <row r="75" spans="1:18">
      <c r="A75" s="3" t="s">
        <v>24</v>
      </c>
      <c r="B75" s="3" t="s">
        <v>91</v>
      </c>
      <c r="C75" s="3" t="s">
        <v>101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1694.7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7">
        <f t="shared" si="2"/>
        <v>1694.7</v>
      </c>
    </row>
    <row r="76" spans="1:18">
      <c r="A76" s="3" t="s">
        <v>24</v>
      </c>
      <c r="B76" s="3" t="s">
        <v>91</v>
      </c>
      <c r="C76" s="3" t="s">
        <v>102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28658.25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7">
        <f t="shared" si="2"/>
        <v>28658.25</v>
      </c>
    </row>
    <row r="77" spans="1:18">
      <c r="A77" s="3" t="s">
        <v>24</v>
      </c>
      <c r="B77" s="3" t="s">
        <v>91</v>
      </c>
      <c r="C77" s="3" t="s">
        <v>103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2150.25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7">
        <f t="shared" si="2"/>
        <v>2150.25</v>
      </c>
    </row>
    <row r="78" spans="1:18">
      <c r="A78" s="3" t="s">
        <v>24</v>
      </c>
      <c r="B78" s="3" t="s">
        <v>91</v>
      </c>
      <c r="C78" s="3" t="s">
        <v>104</v>
      </c>
      <c r="D78" s="6">
        <v>0.9839</v>
      </c>
      <c r="E78" s="6">
        <v>0</v>
      </c>
      <c r="F78" s="6">
        <v>0</v>
      </c>
      <c r="G78" s="6">
        <v>0</v>
      </c>
      <c r="H78" s="6">
        <v>0</v>
      </c>
      <c r="I78" s="6">
        <v>37867.95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7">
        <f t="shared" si="2"/>
        <v>37868.9339</v>
      </c>
    </row>
    <row r="79" spans="1:18">
      <c r="A79" s="3" t="s">
        <v>24</v>
      </c>
      <c r="B79" s="3" t="s">
        <v>91</v>
      </c>
      <c r="C79" s="3" t="s">
        <v>105</v>
      </c>
      <c r="D79" s="6">
        <v>5.137</v>
      </c>
      <c r="E79" s="6">
        <v>0</v>
      </c>
      <c r="F79" s="6">
        <v>0</v>
      </c>
      <c r="G79" s="6">
        <v>0</v>
      </c>
      <c r="H79" s="6">
        <v>0</v>
      </c>
      <c r="I79" s="6">
        <v>84.45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7">
        <f t="shared" si="2"/>
        <v>89.587</v>
      </c>
    </row>
    <row r="80" spans="1:18">
      <c r="A80" s="3" t="s">
        <v>24</v>
      </c>
      <c r="B80" s="3" t="s">
        <v>91</v>
      </c>
      <c r="C80" s="3" t="s">
        <v>106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1574.1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7">
        <f t="shared" si="2"/>
        <v>1574.1</v>
      </c>
    </row>
    <row r="81" spans="1:18">
      <c r="A81" s="3" t="s">
        <v>24</v>
      </c>
      <c r="B81" s="3" t="s">
        <v>91</v>
      </c>
      <c r="C81" s="3" t="s">
        <v>107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60.9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7">
        <f t="shared" si="2"/>
        <v>60.9</v>
      </c>
    </row>
    <row r="82" spans="1:18">
      <c r="A82" s="3" t="s">
        <v>24</v>
      </c>
      <c r="B82" s="3" t="s">
        <v>91</v>
      </c>
      <c r="C82" s="3" t="s">
        <v>108</v>
      </c>
      <c r="D82" s="6">
        <v>1.8055</v>
      </c>
      <c r="E82" s="6">
        <v>0</v>
      </c>
      <c r="F82" s="6">
        <v>0</v>
      </c>
      <c r="G82" s="6">
        <v>0</v>
      </c>
      <c r="H82" s="6">
        <v>0</v>
      </c>
      <c r="I82" s="6">
        <v>308.7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7">
        <f t="shared" si="2"/>
        <v>310.5055</v>
      </c>
    </row>
    <row r="83" spans="1:18">
      <c r="A83" s="3" t="s">
        <v>24</v>
      </c>
      <c r="B83" s="3" t="s">
        <v>91</v>
      </c>
      <c r="C83" s="3" t="s">
        <v>109</v>
      </c>
      <c r="D83" s="6">
        <v>2.4739</v>
      </c>
      <c r="E83" s="6">
        <v>0</v>
      </c>
      <c r="F83" s="6">
        <v>0</v>
      </c>
      <c r="G83" s="6">
        <v>0</v>
      </c>
      <c r="H83" s="6">
        <v>0</v>
      </c>
      <c r="I83" s="6">
        <v>2568.15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7">
        <f t="shared" si="2"/>
        <v>2570.6239</v>
      </c>
    </row>
    <row r="84" spans="1:18">
      <c r="A84" s="3" t="s">
        <v>24</v>
      </c>
      <c r="B84" s="3" t="s">
        <v>91</v>
      </c>
      <c r="C84" s="3" t="s">
        <v>110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178.8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7">
        <f t="shared" si="2"/>
        <v>178.8</v>
      </c>
    </row>
    <row r="85" spans="1:18">
      <c r="A85" s="3" t="s">
        <v>24</v>
      </c>
      <c r="B85" s="3" t="s">
        <v>91</v>
      </c>
      <c r="C85" s="3" t="s">
        <v>111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94.65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7">
        <f t="shared" si="2"/>
        <v>94.65</v>
      </c>
    </row>
    <row r="86" spans="1:18">
      <c r="A86" s="3" t="s">
        <v>24</v>
      </c>
      <c r="B86" s="3" t="s">
        <v>91</v>
      </c>
      <c r="C86" s="3" t="s">
        <v>112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12.15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7">
        <f t="shared" si="2"/>
        <v>12.15</v>
      </c>
    </row>
    <row r="87" spans="1:18">
      <c r="A87" s="3" t="s">
        <v>24</v>
      </c>
      <c r="B87" s="3" t="s">
        <v>91</v>
      </c>
      <c r="C87" s="3" t="s">
        <v>113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1016.25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7">
        <f t="shared" si="2"/>
        <v>1016.25</v>
      </c>
    </row>
    <row r="88" spans="1:18">
      <c r="A88" s="3" t="s">
        <v>24</v>
      </c>
      <c r="B88" s="3" t="s">
        <v>91</v>
      </c>
      <c r="C88" s="3" t="s">
        <v>114</v>
      </c>
      <c r="D88" s="6">
        <v>4.615</v>
      </c>
      <c r="E88" s="6">
        <v>0</v>
      </c>
      <c r="F88" s="6">
        <v>0</v>
      </c>
      <c r="G88" s="6">
        <v>0</v>
      </c>
      <c r="H88" s="6">
        <v>0</v>
      </c>
      <c r="I88" s="6">
        <v>119235.9</v>
      </c>
      <c r="J88" s="6">
        <v>32176.029296875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7">
        <f t="shared" si="2"/>
        <v>151416.544296875</v>
      </c>
    </row>
    <row r="89" spans="1:18">
      <c r="A89" s="3" t="s">
        <v>24</v>
      </c>
      <c r="B89" s="3" t="s">
        <v>91</v>
      </c>
      <c r="C89" s="3" t="s">
        <v>115</v>
      </c>
      <c r="D89" s="6">
        <v>0.8682</v>
      </c>
      <c r="E89" s="6">
        <v>0</v>
      </c>
      <c r="F89" s="6">
        <v>0</v>
      </c>
      <c r="G89" s="6">
        <v>0</v>
      </c>
      <c r="H89" s="6">
        <v>0</v>
      </c>
      <c r="I89" s="6">
        <v>2868.15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f t="shared" si="2"/>
        <v>2869.0182</v>
      </c>
    </row>
    <row r="90" spans="1:18">
      <c r="A90" s="3" t="s">
        <v>24</v>
      </c>
      <c r="B90" s="3" t="s">
        <v>91</v>
      </c>
      <c r="C90" s="3" t="s">
        <v>116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3551.4</v>
      </c>
      <c r="J90" s="6">
        <v>16268.8798828125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f t="shared" si="2"/>
        <v>19820.2798828125</v>
      </c>
    </row>
    <row r="91" spans="1:18">
      <c r="A91" s="3" t="s">
        <v>24</v>
      </c>
      <c r="B91" s="3" t="s">
        <v>91</v>
      </c>
      <c r="C91" s="3" t="s">
        <v>117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107.25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7">
        <f t="shared" si="2"/>
        <v>107.25</v>
      </c>
    </row>
    <row r="92" spans="1:18">
      <c r="A92" s="3" t="s">
        <v>24</v>
      </c>
      <c r="B92" s="3" t="s">
        <v>91</v>
      </c>
      <c r="C92" s="3" t="s">
        <v>118</v>
      </c>
      <c r="D92" s="6">
        <v>0.0364</v>
      </c>
      <c r="E92" s="6">
        <v>0</v>
      </c>
      <c r="F92" s="6">
        <v>0</v>
      </c>
      <c r="G92" s="6">
        <v>0</v>
      </c>
      <c r="H92" s="6">
        <v>0</v>
      </c>
      <c r="I92" s="6">
        <v>34.65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7">
        <f t="shared" si="2"/>
        <v>34.6864</v>
      </c>
    </row>
    <row r="93" spans="1:18">
      <c r="A93" s="3" t="s">
        <v>24</v>
      </c>
      <c r="B93" s="3" t="s">
        <v>91</v>
      </c>
      <c r="C93" s="3" t="s">
        <v>119</v>
      </c>
      <c r="D93" s="6">
        <v>0.1656</v>
      </c>
      <c r="E93" s="6">
        <v>0</v>
      </c>
      <c r="F93" s="6">
        <v>0</v>
      </c>
      <c r="G93" s="6">
        <v>0</v>
      </c>
      <c r="H93" s="6">
        <v>0</v>
      </c>
      <c r="I93" s="6">
        <v>369.15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7">
        <f t="shared" si="2"/>
        <v>369.3156</v>
      </c>
    </row>
    <row r="94" spans="1:18">
      <c r="A94" s="3" t="s">
        <v>24</v>
      </c>
      <c r="B94" s="3" t="s">
        <v>91</v>
      </c>
      <c r="C94" s="3" t="s">
        <v>120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52.2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7">
        <f t="shared" si="2"/>
        <v>52.2</v>
      </c>
    </row>
    <row r="95" spans="1:18">
      <c r="A95" s="3" t="s">
        <v>24</v>
      </c>
      <c r="B95" s="3" t="s">
        <v>91</v>
      </c>
      <c r="C95" s="3" t="s">
        <v>121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60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f t="shared" si="2"/>
        <v>60</v>
      </c>
    </row>
    <row r="96" spans="1:18">
      <c r="A96" s="3" t="s">
        <v>24</v>
      </c>
      <c r="B96" s="3" t="s">
        <v>91</v>
      </c>
      <c r="C96" s="3" t="s">
        <v>122</v>
      </c>
      <c r="D96" s="6">
        <v>2.8732</v>
      </c>
      <c r="E96" s="6">
        <v>0</v>
      </c>
      <c r="F96" s="6">
        <v>0</v>
      </c>
      <c r="G96" s="6">
        <v>0</v>
      </c>
      <c r="H96" s="6">
        <v>0</v>
      </c>
      <c r="I96" s="6">
        <v>59.55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f t="shared" si="2"/>
        <v>62.4232</v>
      </c>
    </row>
    <row r="97" spans="1:18">
      <c r="A97" s="3" t="s">
        <v>24</v>
      </c>
      <c r="B97" s="3" t="s">
        <v>91</v>
      </c>
      <c r="C97" s="3" t="s">
        <v>123</v>
      </c>
      <c r="D97" s="6">
        <v>1.0531</v>
      </c>
      <c r="E97" s="6">
        <v>0</v>
      </c>
      <c r="F97" s="6">
        <v>0</v>
      </c>
      <c r="G97" s="6">
        <v>0</v>
      </c>
      <c r="H97" s="6">
        <v>0</v>
      </c>
      <c r="I97" s="6">
        <v>41702.25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7">
        <f t="shared" si="2"/>
        <v>41703.3031</v>
      </c>
    </row>
    <row r="98" spans="1:18">
      <c r="A98" s="3" t="s">
        <v>24</v>
      </c>
      <c r="B98" s="3" t="s">
        <v>91</v>
      </c>
      <c r="C98" s="3" t="s">
        <v>124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5921.85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f t="shared" si="2"/>
        <v>5921.85</v>
      </c>
    </row>
    <row r="99" spans="1:18">
      <c r="A99" s="3" t="s">
        <v>24</v>
      </c>
      <c r="B99" s="3" t="s">
        <v>91</v>
      </c>
      <c r="C99" s="3" t="s">
        <v>125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7">
        <f t="shared" si="2"/>
        <v>0</v>
      </c>
    </row>
    <row r="100" spans="1:18">
      <c r="A100" s="3" t="s">
        <v>24</v>
      </c>
      <c r="B100" s="3" t="s">
        <v>91</v>
      </c>
      <c r="C100" s="3" t="s">
        <v>126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90.75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7">
        <f t="shared" si="2"/>
        <v>90.75</v>
      </c>
    </row>
    <row r="101" spans="1:18">
      <c r="A101" s="3" t="s">
        <v>24</v>
      </c>
      <c r="B101" s="3" t="s">
        <v>91</v>
      </c>
      <c r="C101" s="3" t="s">
        <v>127</v>
      </c>
      <c r="D101" s="6">
        <v>0.8852</v>
      </c>
      <c r="E101" s="6">
        <v>0</v>
      </c>
      <c r="F101" s="6">
        <v>0</v>
      </c>
      <c r="G101" s="6">
        <v>0</v>
      </c>
      <c r="H101" s="6">
        <v>0</v>
      </c>
      <c r="I101" s="6">
        <v>277.5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7">
        <f t="shared" si="2"/>
        <v>278.3852</v>
      </c>
    </row>
    <row r="102" spans="1:18">
      <c r="A102" s="3" t="s">
        <v>24</v>
      </c>
      <c r="B102" s="3" t="s">
        <v>91</v>
      </c>
      <c r="C102" s="3" t="s">
        <v>128</v>
      </c>
      <c r="D102" s="6">
        <v>3.0587</v>
      </c>
      <c r="E102" s="6">
        <v>0</v>
      </c>
      <c r="F102" s="6">
        <v>0</v>
      </c>
      <c r="G102" s="6">
        <v>0</v>
      </c>
      <c r="H102" s="6">
        <v>0</v>
      </c>
      <c r="I102" s="6">
        <v>21.6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7">
        <f t="shared" ref="R102:R133" si="3">SUM(D102:Q102)</f>
        <v>24.6587</v>
      </c>
    </row>
    <row r="103" spans="1:18">
      <c r="A103" s="3" t="s">
        <v>24</v>
      </c>
      <c r="B103" s="3" t="s">
        <v>91</v>
      </c>
      <c r="C103" s="3" t="s">
        <v>129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165.9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7">
        <f t="shared" si="3"/>
        <v>165.9</v>
      </c>
    </row>
    <row r="104" spans="1:18">
      <c r="A104" s="3" t="s">
        <v>24</v>
      </c>
      <c r="B104" s="3" t="s">
        <v>91</v>
      </c>
      <c r="C104" s="3" t="s">
        <v>130</v>
      </c>
      <c r="D104" s="6">
        <v>0.4129</v>
      </c>
      <c r="E104" s="6">
        <v>0</v>
      </c>
      <c r="F104" s="6">
        <v>0</v>
      </c>
      <c r="G104" s="6">
        <v>0</v>
      </c>
      <c r="H104" s="6">
        <v>0</v>
      </c>
      <c r="I104" s="6">
        <v>28039.5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7">
        <f t="shared" si="3"/>
        <v>28039.9129</v>
      </c>
    </row>
    <row r="105" spans="1:18">
      <c r="A105" s="3" t="s">
        <v>24</v>
      </c>
      <c r="B105" s="3" t="s">
        <v>91</v>
      </c>
      <c r="C105" s="3" t="s">
        <v>131</v>
      </c>
      <c r="D105" s="6">
        <v>1.1123</v>
      </c>
      <c r="E105" s="6">
        <v>0</v>
      </c>
      <c r="F105" s="6">
        <v>0</v>
      </c>
      <c r="G105" s="6">
        <v>0</v>
      </c>
      <c r="H105" s="6">
        <v>0</v>
      </c>
      <c r="I105" s="6">
        <v>638.4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7">
        <f t="shared" si="3"/>
        <v>639.5123</v>
      </c>
    </row>
    <row r="106" spans="1:18">
      <c r="A106" s="3" t="s">
        <v>24</v>
      </c>
      <c r="B106" s="3" t="s">
        <v>91</v>
      </c>
      <c r="C106" s="3" t="s">
        <v>132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7">
        <f t="shared" si="3"/>
        <v>0</v>
      </c>
    </row>
    <row r="107" spans="1:18">
      <c r="A107" s="3" t="s">
        <v>24</v>
      </c>
      <c r="B107" s="3" t="s">
        <v>91</v>
      </c>
      <c r="C107" s="3" t="s">
        <v>133</v>
      </c>
      <c r="D107" s="6">
        <v>4.8168</v>
      </c>
      <c r="E107" s="6">
        <v>0</v>
      </c>
      <c r="F107" s="6">
        <v>0</v>
      </c>
      <c r="G107" s="6">
        <v>2751.60009765625</v>
      </c>
      <c r="H107" s="6">
        <v>0</v>
      </c>
      <c r="I107" s="6">
        <v>8262.15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7">
        <f t="shared" si="3"/>
        <v>11018.5668976563</v>
      </c>
    </row>
    <row r="108" spans="1:18">
      <c r="A108" s="3" t="s">
        <v>24</v>
      </c>
      <c r="B108" s="3" t="s">
        <v>91</v>
      </c>
      <c r="C108" s="3" t="s">
        <v>134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7">
        <f t="shared" si="3"/>
        <v>0</v>
      </c>
    </row>
    <row r="109" spans="1:18">
      <c r="A109" s="3" t="s">
        <v>24</v>
      </c>
      <c r="B109" s="3" t="s">
        <v>91</v>
      </c>
      <c r="C109" s="3" t="s">
        <v>135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135.45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f t="shared" si="3"/>
        <v>135.45</v>
      </c>
    </row>
    <row r="110" spans="1:18">
      <c r="A110" s="3" t="s">
        <v>24</v>
      </c>
      <c r="B110" s="3" t="s">
        <v>91</v>
      </c>
      <c r="C110" s="3" t="s">
        <v>136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>
        <f t="shared" si="3"/>
        <v>0</v>
      </c>
    </row>
    <row r="111" spans="1:18">
      <c r="A111" s="3" t="s">
        <v>24</v>
      </c>
      <c r="B111" s="3" t="s">
        <v>91</v>
      </c>
      <c r="C111" s="3" t="s">
        <v>137</v>
      </c>
      <c r="D111" s="6">
        <v>1.9404</v>
      </c>
      <c r="E111" s="6">
        <v>0</v>
      </c>
      <c r="F111" s="6">
        <v>0</v>
      </c>
      <c r="G111" s="6">
        <v>0</v>
      </c>
      <c r="H111" s="6">
        <v>0</v>
      </c>
      <c r="I111" s="6">
        <v>0.3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7">
        <f t="shared" si="3"/>
        <v>2.2404</v>
      </c>
    </row>
    <row r="112" spans="1:18">
      <c r="A112" s="3" t="s">
        <v>24</v>
      </c>
      <c r="B112" s="3" t="s">
        <v>91</v>
      </c>
      <c r="C112" s="3" t="s">
        <v>138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609.3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f t="shared" si="3"/>
        <v>609.3</v>
      </c>
    </row>
    <row r="113" spans="1:18">
      <c r="A113" s="3" t="s">
        <v>24</v>
      </c>
      <c r="B113" s="3" t="s">
        <v>91</v>
      </c>
      <c r="C113" s="3" t="s">
        <v>139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33068.55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7">
        <f t="shared" si="3"/>
        <v>33068.55</v>
      </c>
    </row>
    <row r="114" spans="1:18">
      <c r="A114" s="3" t="s">
        <v>24</v>
      </c>
      <c r="B114" s="3" t="s">
        <v>91</v>
      </c>
      <c r="C114" s="3" t="s">
        <v>140</v>
      </c>
      <c r="D114" s="6">
        <v>2.737</v>
      </c>
      <c r="E114" s="6">
        <v>0</v>
      </c>
      <c r="F114" s="6">
        <v>0</v>
      </c>
      <c r="G114" s="6">
        <v>0</v>
      </c>
      <c r="H114" s="6">
        <v>0</v>
      </c>
      <c r="I114" s="6">
        <v>2412.15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7">
        <f t="shared" si="3"/>
        <v>2414.887</v>
      </c>
    </row>
    <row r="115" spans="1:18">
      <c r="A115" s="3" t="s">
        <v>24</v>
      </c>
      <c r="B115" s="3" t="s">
        <v>91</v>
      </c>
      <c r="C115" s="3" t="s">
        <v>141</v>
      </c>
      <c r="D115" s="6">
        <v>13.8409</v>
      </c>
      <c r="E115" s="6">
        <v>0</v>
      </c>
      <c r="F115" s="6">
        <v>0</v>
      </c>
      <c r="G115" s="6">
        <v>0</v>
      </c>
      <c r="H115" s="6">
        <v>0</v>
      </c>
      <c r="I115" s="6">
        <v>61625.55</v>
      </c>
      <c r="J115" s="6">
        <v>95521.34375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7">
        <f t="shared" si="3"/>
        <v>157160.73465</v>
      </c>
    </row>
    <row r="116" spans="1:18">
      <c r="A116" s="3" t="s">
        <v>24</v>
      </c>
      <c r="B116" s="3" t="s">
        <v>91</v>
      </c>
      <c r="C116" s="3" t="s">
        <v>142</v>
      </c>
      <c r="D116" s="6">
        <v>2.279</v>
      </c>
      <c r="E116" s="6">
        <v>0</v>
      </c>
      <c r="F116" s="6">
        <v>0</v>
      </c>
      <c r="G116" s="6">
        <v>0</v>
      </c>
      <c r="H116" s="6">
        <v>0</v>
      </c>
      <c r="I116" s="6">
        <v>71.1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7">
        <f t="shared" si="3"/>
        <v>73.379</v>
      </c>
    </row>
    <row r="117" spans="1:18">
      <c r="A117" s="3" t="s">
        <v>24</v>
      </c>
      <c r="B117" s="3" t="s">
        <v>91</v>
      </c>
      <c r="C117" s="3" t="s">
        <v>143</v>
      </c>
      <c r="D117" s="6">
        <v>1.2193</v>
      </c>
      <c r="E117" s="6">
        <v>0</v>
      </c>
      <c r="F117" s="6">
        <v>0</v>
      </c>
      <c r="G117" s="6">
        <v>0</v>
      </c>
      <c r="H117" s="6">
        <v>0</v>
      </c>
      <c r="I117" s="6">
        <v>1935.45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7">
        <f t="shared" si="3"/>
        <v>1936.6693</v>
      </c>
    </row>
    <row r="118" spans="1:18">
      <c r="A118" s="3" t="s">
        <v>24</v>
      </c>
      <c r="B118" s="3" t="s">
        <v>91</v>
      </c>
      <c r="C118" s="3" t="s">
        <v>144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93.6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7">
        <f t="shared" si="3"/>
        <v>93.6</v>
      </c>
    </row>
    <row r="119" spans="1:18">
      <c r="A119" s="3" t="s">
        <v>24</v>
      </c>
      <c r="B119" s="3" t="s">
        <v>91</v>
      </c>
      <c r="C119" s="3" t="s">
        <v>145</v>
      </c>
      <c r="D119" s="6">
        <v>0.383</v>
      </c>
      <c r="E119" s="6">
        <v>0</v>
      </c>
      <c r="F119" s="6">
        <v>0</v>
      </c>
      <c r="G119" s="6">
        <v>0</v>
      </c>
      <c r="H119" s="6">
        <v>0</v>
      </c>
      <c r="I119" s="6">
        <v>21.9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7">
        <f t="shared" si="3"/>
        <v>22.283</v>
      </c>
    </row>
    <row r="120" spans="1:18">
      <c r="A120" s="3" t="s">
        <v>24</v>
      </c>
      <c r="B120" s="3" t="s">
        <v>91</v>
      </c>
      <c r="C120" s="3" t="s">
        <v>146</v>
      </c>
      <c r="D120" s="6">
        <v>0.3972</v>
      </c>
      <c r="E120" s="6">
        <v>0</v>
      </c>
      <c r="F120" s="6">
        <v>0</v>
      </c>
      <c r="G120" s="6">
        <v>0</v>
      </c>
      <c r="H120" s="6">
        <v>0</v>
      </c>
      <c r="I120" s="6">
        <v>1.65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7">
        <f t="shared" si="3"/>
        <v>2.0472</v>
      </c>
    </row>
    <row r="121" spans="1:18">
      <c r="A121" s="3" t="s">
        <v>24</v>
      </c>
      <c r="B121" s="3" t="s">
        <v>91</v>
      </c>
      <c r="C121" s="3" t="s">
        <v>147</v>
      </c>
      <c r="D121" s="6">
        <v>0.6115</v>
      </c>
      <c r="E121" s="6">
        <v>0</v>
      </c>
      <c r="F121" s="6">
        <v>0</v>
      </c>
      <c r="G121" s="6">
        <v>0</v>
      </c>
      <c r="H121" s="6">
        <v>0</v>
      </c>
      <c r="I121" s="6">
        <v>44.1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f t="shared" si="3"/>
        <v>44.7115</v>
      </c>
    </row>
    <row r="122" spans="1:18">
      <c r="A122" s="3" t="s">
        <v>24</v>
      </c>
      <c r="B122" s="3" t="s">
        <v>91</v>
      </c>
      <c r="C122" s="3" t="s">
        <v>148</v>
      </c>
      <c r="D122" s="6">
        <v>0.9727</v>
      </c>
      <c r="E122" s="6">
        <v>0</v>
      </c>
      <c r="F122" s="6">
        <v>0</v>
      </c>
      <c r="G122" s="6">
        <v>0</v>
      </c>
      <c r="H122" s="6">
        <v>0</v>
      </c>
      <c r="I122" s="6">
        <v>1.5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7">
        <f t="shared" si="3"/>
        <v>2.4727</v>
      </c>
    </row>
    <row r="123" spans="1:18">
      <c r="A123" s="3" t="s">
        <v>24</v>
      </c>
      <c r="B123" s="3" t="s">
        <v>91</v>
      </c>
      <c r="C123" s="3" t="s">
        <v>149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f t="shared" si="3"/>
        <v>0</v>
      </c>
    </row>
    <row r="124" spans="1:18">
      <c r="A124" s="3" t="s">
        <v>24</v>
      </c>
      <c r="B124" s="3" t="s">
        <v>91</v>
      </c>
      <c r="C124" s="3" t="s">
        <v>150</v>
      </c>
      <c r="D124" s="6">
        <v>1.7731</v>
      </c>
      <c r="E124" s="6">
        <v>0</v>
      </c>
      <c r="F124" s="6">
        <v>0</v>
      </c>
      <c r="G124" s="6">
        <v>960.799987792969</v>
      </c>
      <c r="H124" s="6">
        <v>0</v>
      </c>
      <c r="I124" s="6">
        <v>271.8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>
        <f t="shared" si="3"/>
        <v>1234.37308779297</v>
      </c>
    </row>
    <row r="125" spans="1:18">
      <c r="A125" s="3" t="s">
        <v>24</v>
      </c>
      <c r="B125" s="3" t="s">
        <v>91</v>
      </c>
      <c r="C125" s="3" t="s">
        <v>151</v>
      </c>
      <c r="D125" s="6">
        <v>1.4476</v>
      </c>
      <c r="E125" s="6">
        <v>0</v>
      </c>
      <c r="F125" s="6">
        <v>0</v>
      </c>
      <c r="G125" s="6">
        <v>0</v>
      </c>
      <c r="H125" s="6">
        <v>0</v>
      </c>
      <c r="I125" s="6">
        <v>22862.85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7">
        <f t="shared" si="3"/>
        <v>22864.2976</v>
      </c>
    </row>
    <row r="126" spans="1:18">
      <c r="A126" s="3" t="s">
        <v>24</v>
      </c>
      <c r="B126" s="3" t="s">
        <v>91</v>
      </c>
      <c r="C126" s="3" t="s">
        <v>152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102.3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7">
        <f t="shared" si="3"/>
        <v>102.3</v>
      </c>
    </row>
    <row r="127" spans="1:18">
      <c r="A127" s="3" t="s">
        <v>24</v>
      </c>
      <c r="B127" s="3" t="s">
        <v>91</v>
      </c>
      <c r="C127" s="3" t="s">
        <v>153</v>
      </c>
      <c r="D127" s="6">
        <v>3.0924</v>
      </c>
      <c r="E127" s="6">
        <v>0</v>
      </c>
      <c r="F127" s="6">
        <v>0</v>
      </c>
      <c r="G127" s="6">
        <v>0</v>
      </c>
      <c r="H127" s="6">
        <v>0</v>
      </c>
      <c r="I127" s="6">
        <v>474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7">
        <f t="shared" si="3"/>
        <v>477.0924</v>
      </c>
    </row>
    <row r="128" spans="1:18">
      <c r="A128" s="3" t="s">
        <v>24</v>
      </c>
      <c r="B128" s="3" t="s">
        <v>91</v>
      </c>
      <c r="C128" s="3" t="s">
        <v>154</v>
      </c>
      <c r="D128" s="6">
        <v>0.6468</v>
      </c>
      <c r="E128" s="6">
        <v>0</v>
      </c>
      <c r="F128" s="6">
        <v>0</v>
      </c>
      <c r="G128" s="6">
        <v>0</v>
      </c>
      <c r="H128" s="6">
        <v>0</v>
      </c>
      <c r="I128" s="6">
        <v>2563.35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7">
        <f t="shared" si="3"/>
        <v>2563.9968</v>
      </c>
    </row>
    <row r="129" spans="1:18">
      <c r="A129" s="3" t="s">
        <v>24</v>
      </c>
      <c r="B129" s="3" t="s">
        <v>91</v>
      </c>
      <c r="C129" s="3" t="s">
        <v>155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311.85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7">
        <f t="shared" si="3"/>
        <v>311.85</v>
      </c>
    </row>
    <row r="130" spans="1:18">
      <c r="A130" s="3" t="s">
        <v>24</v>
      </c>
      <c r="B130" s="3" t="s">
        <v>91</v>
      </c>
      <c r="C130" s="3" t="s">
        <v>156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1102.8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7">
        <f t="shared" si="3"/>
        <v>1102.8</v>
      </c>
    </row>
    <row r="131" spans="1:18">
      <c r="A131" s="3" t="s">
        <v>24</v>
      </c>
      <c r="B131" s="3" t="s">
        <v>91</v>
      </c>
      <c r="C131" s="3" t="s">
        <v>157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7">
        <f t="shared" si="3"/>
        <v>0</v>
      </c>
    </row>
    <row r="132" spans="1:18">
      <c r="A132" s="3" t="s">
        <v>24</v>
      </c>
      <c r="B132" s="3" t="s">
        <v>91</v>
      </c>
      <c r="C132" s="3" t="s">
        <v>158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72.9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7">
        <f t="shared" si="3"/>
        <v>72.9</v>
      </c>
    </row>
    <row r="133" spans="1:18">
      <c r="A133" s="3" t="s">
        <v>24</v>
      </c>
      <c r="B133" s="3" t="s">
        <v>91</v>
      </c>
      <c r="C133" s="3" t="s">
        <v>159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676.95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7">
        <f t="shared" si="3"/>
        <v>676.95</v>
      </c>
    </row>
    <row r="134" spans="1:18">
      <c r="A134" s="3" t="s">
        <v>24</v>
      </c>
      <c r="B134" s="3" t="s">
        <v>91</v>
      </c>
      <c r="C134" s="3" t="s">
        <v>160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348.15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7">
        <f t="shared" ref="R134:R165" si="4">SUM(D134:Q134)</f>
        <v>348.15</v>
      </c>
    </row>
    <row r="135" spans="1:18">
      <c r="A135" s="3" t="s">
        <v>24</v>
      </c>
      <c r="B135" s="3" t="s">
        <v>91</v>
      </c>
      <c r="C135" s="3" t="s">
        <v>161</v>
      </c>
      <c r="D135" s="6">
        <v>2.9412</v>
      </c>
      <c r="E135" s="6">
        <v>0</v>
      </c>
      <c r="F135" s="6">
        <v>0</v>
      </c>
      <c r="G135" s="6">
        <v>0</v>
      </c>
      <c r="H135" s="6">
        <v>0</v>
      </c>
      <c r="I135" s="6">
        <v>2407.35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7">
        <f t="shared" si="4"/>
        <v>2410.2912</v>
      </c>
    </row>
    <row r="136" spans="1:18">
      <c r="A136" s="3" t="s">
        <v>24</v>
      </c>
      <c r="B136" s="3" t="s">
        <v>91</v>
      </c>
      <c r="C136" s="3" t="s">
        <v>162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153.9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7">
        <f t="shared" si="4"/>
        <v>153.9</v>
      </c>
    </row>
    <row r="137" spans="1:18">
      <c r="A137" s="3" t="s">
        <v>24</v>
      </c>
      <c r="B137" s="3" t="s">
        <v>91</v>
      </c>
      <c r="C137" s="3" t="s">
        <v>163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660.6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7">
        <f t="shared" si="4"/>
        <v>660.6</v>
      </c>
    </row>
    <row r="138" spans="1:18">
      <c r="A138" s="3" t="s">
        <v>24</v>
      </c>
      <c r="B138" s="3" t="s">
        <v>91</v>
      </c>
      <c r="C138" s="3" t="s">
        <v>164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521.1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7">
        <f t="shared" si="4"/>
        <v>521.1</v>
      </c>
    </row>
    <row r="139" spans="1:18">
      <c r="A139" s="3" t="s">
        <v>24</v>
      </c>
      <c r="B139" s="3" t="s">
        <v>91</v>
      </c>
      <c r="C139" s="3" t="s">
        <v>165</v>
      </c>
      <c r="D139" s="6">
        <v>2.7943</v>
      </c>
      <c r="E139" s="6">
        <v>0</v>
      </c>
      <c r="F139" s="6">
        <v>0</v>
      </c>
      <c r="G139" s="6">
        <v>0</v>
      </c>
      <c r="H139" s="6">
        <v>0</v>
      </c>
      <c r="I139" s="6">
        <v>189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7">
        <f t="shared" si="4"/>
        <v>191.7943</v>
      </c>
    </row>
    <row r="140" spans="1:18">
      <c r="A140" s="3" t="s">
        <v>24</v>
      </c>
      <c r="B140" s="3" t="s">
        <v>91</v>
      </c>
      <c r="C140" s="3" t="s">
        <v>166</v>
      </c>
      <c r="D140" s="6">
        <v>0.6412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7">
        <f t="shared" si="4"/>
        <v>0.6412</v>
      </c>
    </row>
    <row r="141" spans="1:18">
      <c r="A141" s="3" t="s">
        <v>24</v>
      </c>
      <c r="B141" s="3" t="s">
        <v>167</v>
      </c>
      <c r="C141" s="3" t="s">
        <v>168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3259.05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7">
        <f t="shared" si="4"/>
        <v>3259.05</v>
      </c>
    </row>
    <row r="142" spans="1:18">
      <c r="A142" s="3" t="s">
        <v>24</v>
      </c>
      <c r="B142" s="3" t="s">
        <v>167</v>
      </c>
      <c r="C142" s="3" t="s">
        <v>169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13824.75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7">
        <f t="shared" si="4"/>
        <v>13824.75</v>
      </c>
    </row>
    <row r="143" spans="1:18">
      <c r="A143" s="3" t="s">
        <v>24</v>
      </c>
      <c r="B143" s="3" t="s">
        <v>167</v>
      </c>
      <c r="C143" s="3" t="s">
        <v>170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f t="shared" si="4"/>
        <v>0</v>
      </c>
    </row>
    <row r="144" spans="1:18">
      <c r="A144" s="3" t="s">
        <v>24</v>
      </c>
      <c r="B144" s="3" t="s">
        <v>167</v>
      </c>
      <c r="C144" s="3" t="s">
        <v>171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251577.3</v>
      </c>
      <c r="J144" s="6">
        <v>64118.87109375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7">
        <f t="shared" si="4"/>
        <v>315696.17109375</v>
      </c>
    </row>
    <row r="145" spans="1:18">
      <c r="A145" s="3" t="s">
        <v>24</v>
      </c>
      <c r="B145" s="3" t="s">
        <v>167</v>
      </c>
      <c r="C145" s="3" t="s">
        <v>172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394907.1</v>
      </c>
      <c r="J145" s="6">
        <v>89514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7">
        <f t="shared" si="4"/>
        <v>484421.1</v>
      </c>
    </row>
    <row r="146" spans="1:18">
      <c r="A146" s="3" t="s">
        <v>24</v>
      </c>
      <c r="B146" s="3" t="s">
        <v>167</v>
      </c>
      <c r="C146" s="3" t="s">
        <v>173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115990.05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7">
        <f t="shared" si="4"/>
        <v>115990.05</v>
      </c>
    </row>
    <row r="147" spans="1:18">
      <c r="A147" s="3" t="s">
        <v>24</v>
      </c>
      <c r="B147" s="3" t="s">
        <v>167</v>
      </c>
      <c r="C147" s="3" t="s">
        <v>174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8.4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7">
        <f t="shared" si="4"/>
        <v>8.4</v>
      </c>
    </row>
    <row r="148" spans="1:18">
      <c r="A148" s="3" t="s">
        <v>24</v>
      </c>
      <c r="B148" s="3" t="s">
        <v>167</v>
      </c>
      <c r="C148" s="3" t="s">
        <v>175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751275</v>
      </c>
      <c r="J148" s="6">
        <v>212462.484375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f t="shared" si="4"/>
        <v>963737.484375</v>
      </c>
    </row>
    <row r="149" spans="1:18">
      <c r="A149" s="3" t="s">
        <v>24</v>
      </c>
      <c r="B149" s="3" t="s">
        <v>167</v>
      </c>
      <c r="C149" s="3" t="s">
        <v>176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1035.15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7">
        <f t="shared" si="4"/>
        <v>1035.15</v>
      </c>
    </row>
    <row r="150" spans="1:18">
      <c r="A150" s="3" t="s">
        <v>24</v>
      </c>
      <c r="B150" s="3" t="s">
        <v>167</v>
      </c>
      <c r="C150" s="3" t="s">
        <v>177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196073.7</v>
      </c>
      <c r="J150" s="6">
        <v>83351.5234375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7">
        <f t="shared" si="4"/>
        <v>279425.2234375</v>
      </c>
    </row>
    <row r="151" spans="1:18">
      <c r="A151" s="3" t="s">
        <v>24</v>
      </c>
      <c r="B151" s="3" t="s">
        <v>167</v>
      </c>
      <c r="C151" s="3" t="s">
        <v>178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72369.15</v>
      </c>
      <c r="J151" s="6">
        <v>94465.9765625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7">
        <f t="shared" si="4"/>
        <v>166835.1265625</v>
      </c>
    </row>
    <row r="152" spans="1:18">
      <c r="A152" s="3" t="s">
        <v>24</v>
      </c>
      <c r="B152" s="3" t="s">
        <v>167</v>
      </c>
      <c r="C152" s="3" t="s">
        <v>179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147091.8</v>
      </c>
      <c r="J152" s="6">
        <v>92191.0390625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7">
        <f t="shared" si="4"/>
        <v>239282.8390625</v>
      </c>
    </row>
    <row r="153" spans="1:18">
      <c r="A153" s="3" t="s">
        <v>24</v>
      </c>
      <c r="B153" s="3" t="s">
        <v>167</v>
      </c>
      <c r="C153" s="3" t="s">
        <v>180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1135.95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7">
        <f t="shared" si="4"/>
        <v>1135.95</v>
      </c>
    </row>
    <row r="154" spans="1:18">
      <c r="A154" s="3" t="s">
        <v>24</v>
      </c>
      <c r="B154" s="3" t="s">
        <v>167</v>
      </c>
      <c r="C154" s="3" t="s">
        <v>181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95164.35</v>
      </c>
      <c r="J154" s="6">
        <v>229935.453125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7">
        <f t="shared" si="4"/>
        <v>325099.803125</v>
      </c>
    </row>
    <row r="155" spans="1:18">
      <c r="A155" s="3" t="s">
        <v>24</v>
      </c>
      <c r="B155" s="3" t="s">
        <v>167</v>
      </c>
      <c r="C155" s="3" t="s">
        <v>182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109676.7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7">
        <f t="shared" si="4"/>
        <v>109676.7</v>
      </c>
    </row>
    <row r="156" spans="1:18">
      <c r="A156" s="3" t="s">
        <v>24</v>
      </c>
      <c r="B156" s="3" t="s">
        <v>167</v>
      </c>
      <c r="C156" s="3" t="s">
        <v>183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317878.8</v>
      </c>
      <c r="J156" s="6">
        <v>109224.0078125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7">
        <f t="shared" si="4"/>
        <v>427102.8078125</v>
      </c>
    </row>
    <row r="157" spans="1:18">
      <c r="A157" s="3" t="s">
        <v>24</v>
      </c>
      <c r="B157" s="3" t="s">
        <v>167</v>
      </c>
      <c r="C157" s="3" t="s">
        <v>184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9341.7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7">
        <f t="shared" si="4"/>
        <v>9341.7</v>
      </c>
    </row>
    <row r="158" spans="1:18">
      <c r="A158" s="3" t="s">
        <v>24</v>
      </c>
      <c r="B158" s="3" t="s">
        <v>185</v>
      </c>
      <c r="C158" s="3" t="s">
        <v>186</v>
      </c>
      <c r="D158" s="6">
        <v>0.4576</v>
      </c>
      <c r="E158" s="6">
        <v>0</v>
      </c>
      <c r="F158" s="6">
        <v>0</v>
      </c>
      <c r="G158" s="6">
        <v>0</v>
      </c>
      <c r="H158" s="6">
        <v>0</v>
      </c>
      <c r="I158" s="6">
        <v>5.55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7">
        <f t="shared" si="4"/>
        <v>6.0076</v>
      </c>
    </row>
    <row r="159" spans="1:18">
      <c r="A159" s="3" t="s">
        <v>24</v>
      </c>
      <c r="B159" s="3" t="s">
        <v>185</v>
      </c>
      <c r="C159" s="3" t="s">
        <v>187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13.8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f t="shared" si="4"/>
        <v>13.8</v>
      </c>
    </row>
    <row r="160" spans="1:18">
      <c r="A160" s="3" t="s">
        <v>24</v>
      </c>
      <c r="B160" s="3" t="s">
        <v>185</v>
      </c>
      <c r="C160" s="3" t="s">
        <v>188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489.45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7">
        <f t="shared" si="4"/>
        <v>489.45</v>
      </c>
    </row>
    <row r="161" spans="1:18">
      <c r="A161" s="3" t="s">
        <v>24</v>
      </c>
      <c r="B161" s="3" t="s">
        <v>185</v>
      </c>
      <c r="C161" s="3" t="s">
        <v>189</v>
      </c>
      <c r="D161" s="6">
        <v>4.0309</v>
      </c>
      <c r="E161" s="6">
        <v>0</v>
      </c>
      <c r="F161" s="6">
        <v>0</v>
      </c>
      <c r="G161" s="6">
        <v>2374</v>
      </c>
      <c r="H161" s="6">
        <v>0</v>
      </c>
      <c r="I161" s="6">
        <v>39.6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f t="shared" si="4"/>
        <v>2417.6309</v>
      </c>
    </row>
    <row r="162" spans="1:18">
      <c r="A162" s="3" t="s">
        <v>24</v>
      </c>
      <c r="B162" s="3" t="s">
        <v>185</v>
      </c>
      <c r="C162" s="3" t="s">
        <v>190</v>
      </c>
      <c r="D162" s="6">
        <v>3.3738</v>
      </c>
      <c r="E162" s="6">
        <v>0</v>
      </c>
      <c r="F162" s="6">
        <v>0</v>
      </c>
      <c r="G162" s="6">
        <v>2578</v>
      </c>
      <c r="H162" s="6">
        <v>0</v>
      </c>
      <c r="I162" s="6">
        <v>0.9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7">
        <f t="shared" si="4"/>
        <v>2582.2738</v>
      </c>
    </row>
    <row r="163" spans="1:18">
      <c r="A163" s="3" t="s">
        <v>24</v>
      </c>
      <c r="B163" s="3" t="s">
        <v>185</v>
      </c>
      <c r="C163" s="3" t="s">
        <v>191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67.05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f t="shared" si="4"/>
        <v>67.05</v>
      </c>
    </row>
    <row r="164" spans="1:18">
      <c r="A164" s="3" t="s">
        <v>24</v>
      </c>
      <c r="B164" s="3" t="s">
        <v>185</v>
      </c>
      <c r="C164" s="3" t="s">
        <v>192</v>
      </c>
      <c r="D164" s="6">
        <v>1.8203</v>
      </c>
      <c r="E164" s="6">
        <v>0</v>
      </c>
      <c r="F164" s="6">
        <v>0</v>
      </c>
      <c r="G164" s="6">
        <v>1612.80004882812</v>
      </c>
      <c r="H164" s="6">
        <v>0</v>
      </c>
      <c r="I164" s="6">
        <v>12.3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7">
        <f t="shared" si="4"/>
        <v>1626.92034882813</v>
      </c>
    </row>
    <row r="165" spans="1:18">
      <c r="A165" s="3" t="s">
        <v>24</v>
      </c>
      <c r="B165" s="3" t="s">
        <v>185</v>
      </c>
      <c r="C165" s="3" t="s">
        <v>193</v>
      </c>
      <c r="D165" s="6">
        <v>0.9205</v>
      </c>
      <c r="E165" s="6">
        <v>0</v>
      </c>
      <c r="F165" s="6">
        <v>0</v>
      </c>
      <c r="G165" s="6">
        <v>1400</v>
      </c>
      <c r="H165" s="6">
        <v>0</v>
      </c>
      <c r="I165" s="6">
        <v>21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7">
        <f t="shared" si="4"/>
        <v>1421.9205</v>
      </c>
    </row>
    <row r="166" spans="1:18">
      <c r="A166" s="3" t="s">
        <v>24</v>
      </c>
      <c r="B166" s="3" t="s">
        <v>185</v>
      </c>
      <c r="C166" s="3" t="s">
        <v>194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79.8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7">
        <f t="shared" ref="R166:R185" si="5">SUM(D166:Q166)</f>
        <v>79.8</v>
      </c>
    </row>
    <row r="167" spans="1:18">
      <c r="A167" s="3" t="s">
        <v>24</v>
      </c>
      <c r="B167" s="3" t="s">
        <v>185</v>
      </c>
      <c r="C167" s="3" t="s">
        <v>195</v>
      </c>
      <c r="D167" s="6">
        <v>1.5685</v>
      </c>
      <c r="E167" s="6">
        <v>0</v>
      </c>
      <c r="F167" s="6">
        <v>0</v>
      </c>
      <c r="G167" s="6">
        <v>3049.19995117188</v>
      </c>
      <c r="H167" s="6">
        <v>0</v>
      </c>
      <c r="I167" s="6">
        <v>0.9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7">
        <f t="shared" si="5"/>
        <v>3051.66845117187</v>
      </c>
    </row>
    <row r="168" spans="1:18">
      <c r="A168" s="3" t="s">
        <v>24</v>
      </c>
      <c r="B168" s="3" t="s">
        <v>185</v>
      </c>
      <c r="C168" s="3" t="s">
        <v>196</v>
      </c>
      <c r="D168" s="6">
        <v>1.9991</v>
      </c>
      <c r="E168" s="6">
        <v>0</v>
      </c>
      <c r="F168" s="6">
        <v>0</v>
      </c>
      <c r="G168" s="6">
        <v>957.599975585938</v>
      </c>
      <c r="H168" s="6">
        <v>0</v>
      </c>
      <c r="I168" s="6">
        <v>18.15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7">
        <f t="shared" si="5"/>
        <v>977.749075585937</v>
      </c>
    </row>
    <row r="169" spans="1:18">
      <c r="A169" s="3" t="s">
        <v>24</v>
      </c>
      <c r="B169" s="3" t="s">
        <v>185</v>
      </c>
      <c r="C169" s="3" t="s">
        <v>197</v>
      </c>
      <c r="D169" s="6">
        <v>2.7434</v>
      </c>
      <c r="E169" s="6">
        <v>0</v>
      </c>
      <c r="F169" s="6">
        <v>0</v>
      </c>
      <c r="G169" s="6">
        <v>5717.2001953125</v>
      </c>
      <c r="H169" s="6">
        <v>0</v>
      </c>
      <c r="I169" s="6">
        <v>6.45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f t="shared" si="5"/>
        <v>5726.3935953125</v>
      </c>
    </row>
    <row r="170" spans="1:18">
      <c r="A170" s="3" t="s">
        <v>24</v>
      </c>
      <c r="B170" s="3" t="s">
        <v>185</v>
      </c>
      <c r="C170" s="3" t="s">
        <v>198</v>
      </c>
      <c r="D170" s="6">
        <v>0.3355</v>
      </c>
      <c r="E170" s="6">
        <v>0</v>
      </c>
      <c r="F170" s="6">
        <v>0</v>
      </c>
      <c r="G170" s="6">
        <v>0</v>
      </c>
      <c r="H170" s="6">
        <v>0</v>
      </c>
      <c r="I170" s="6">
        <v>138.15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7">
        <f t="shared" si="5"/>
        <v>138.4855</v>
      </c>
    </row>
    <row r="171" spans="1:18">
      <c r="A171" s="3" t="s">
        <v>24</v>
      </c>
      <c r="B171" s="3" t="s">
        <v>185</v>
      </c>
      <c r="C171" s="3" t="s">
        <v>199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3391.35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f t="shared" si="5"/>
        <v>3391.35</v>
      </c>
    </row>
    <row r="172" spans="1:18">
      <c r="A172" s="3" t="s">
        <v>24</v>
      </c>
      <c r="B172" s="3" t="s">
        <v>185</v>
      </c>
      <c r="C172" s="3" t="s">
        <v>200</v>
      </c>
      <c r="D172" s="6">
        <v>0.5299</v>
      </c>
      <c r="E172" s="6">
        <v>0</v>
      </c>
      <c r="F172" s="6">
        <v>0</v>
      </c>
      <c r="G172" s="6">
        <v>0</v>
      </c>
      <c r="H172" s="6">
        <v>0</v>
      </c>
      <c r="I172" s="6">
        <v>12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7">
        <f t="shared" si="5"/>
        <v>12.5299</v>
      </c>
    </row>
    <row r="173" spans="1:18">
      <c r="A173" s="3" t="s">
        <v>24</v>
      </c>
      <c r="B173" s="3" t="s">
        <v>185</v>
      </c>
      <c r="C173" s="3" t="s">
        <v>201</v>
      </c>
      <c r="D173" s="6">
        <v>0.8208</v>
      </c>
      <c r="E173" s="6">
        <v>0</v>
      </c>
      <c r="F173" s="6">
        <v>0</v>
      </c>
      <c r="G173" s="6">
        <v>1308.40002441406</v>
      </c>
      <c r="H173" s="6">
        <v>0</v>
      </c>
      <c r="I173" s="6">
        <v>107.1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7">
        <f t="shared" si="5"/>
        <v>1416.32082441406</v>
      </c>
    </row>
    <row r="174" spans="1:18">
      <c r="A174" s="3" t="s">
        <v>24</v>
      </c>
      <c r="B174" s="3" t="s">
        <v>185</v>
      </c>
      <c r="C174" s="3" t="s">
        <v>202</v>
      </c>
      <c r="D174" s="6">
        <v>1.1729</v>
      </c>
      <c r="E174" s="6">
        <v>0</v>
      </c>
      <c r="F174" s="6">
        <v>0</v>
      </c>
      <c r="G174" s="6">
        <v>0</v>
      </c>
      <c r="H174" s="6">
        <v>0</v>
      </c>
      <c r="I174" s="6">
        <v>460.65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f t="shared" si="5"/>
        <v>461.8229</v>
      </c>
    </row>
    <row r="175" spans="1:18">
      <c r="A175" s="3" t="s">
        <v>24</v>
      </c>
      <c r="B175" s="3" t="s">
        <v>185</v>
      </c>
      <c r="C175" s="3" t="s">
        <v>203</v>
      </c>
      <c r="D175" s="6">
        <v>0.1387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7">
        <f t="shared" si="5"/>
        <v>0.1387</v>
      </c>
    </row>
    <row r="176" spans="1:18">
      <c r="A176" s="3" t="s">
        <v>24</v>
      </c>
      <c r="B176" s="3" t="s">
        <v>185</v>
      </c>
      <c r="C176" s="3" t="s">
        <v>204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12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7">
        <f t="shared" si="5"/>
        <v>12</v>
      </c>
    </row>
    <row r="177" spans="1:18">
      <c r="A177" s="3" t="s">
        <v>24</v>
      </c>
      <c r="B177" s="3" t="s">
        <v>185</v>
      </c>
      <c r="C177" s="3" t="s">
        <v>205</v>
      </c>
      <c r="D177" s="6">
        <v>4.8911</v>
      </c>
      <c r="E177" s="6">
        <v>0</v>
      </c>
      <c r="F177" s="6">
        <v>0</v>
      </c>
      <c r="G177" s="6">
        <v>2978</v>
      </c>
      <c r="H177" s="6">
        <v>0</v>
      </c>
      <c r="I177" s="6">
        <v>49.2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f t="shared" si="5"/>
        <v>3032.0911</v>
      </c>
    </row>
    <row r="178" spans="1:18">
      <c r="A178" s="3" t="s">
        <v>24</v>
      </c>
      <c r="B178" s="3" t="s">
        <v>185</v>
      </c>
      <c r="C178" s="3" t="s">
        <v>206</v>
      </c>
      <c r="D178" s="6">
        <v>1.1016</v>
      </c>
      <c r="E178" s="6">
        <v>0</v>
      </c>
      <c r="F178" s="6">
        <v>0</v>
      </c>
      <c r="G178" s="6">
        <v>0</v>
      </c>
      <c r="H178" s="6">
        <v>0</v>
      </c>
      <c r="I178" s="6">
        <v>28081.2</v>
      </c>
      <c r="J178" s="6">
        <v>3771.5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7">
        <f t="shared" si="5"/>
        <v>31853.8016</v>
      </c>
    </row>
    <row r="179" spans="1:18">
      <c r="A179" s="3" t="s">
        <v>24</v>
      </c>
      <c r="B179" s="3" t="s">
        <v>185</v>
      </c>
      <c r="C179" s="3" t="s">
        <v>207</v>
      </c>
      <c r="D179" s="6">
        <v>0.2908</v>
      </c>
      <c r="E179" s="6">
        <v>0</v>
      </c>
      <c r="F179" s="6">
        <v>0</v>
      </c>
      <c r="G179" s="6">
        <v>0</v>
      </c>
      <c r="H179" s="6">
        <v>0</v>
      </c>
      <c r="I179" s="6">
        <v>2.55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7">
        <f t="shared" si="5"/>
        <v>2.8408</v>
      </c>
    </row>
    <row r="180" spans="1:18">
      <c r="A180" s="3" t="s">
        <v>24</v>
      </c>
      <c r="B180" s="3" t="s">
        <v>185</v>
      </c>
      <c r="C180" s="3" t="s">
        <v>208</v>
      </c>
      <c r="D180" s="6">
        <v>7.1762</v>
      </c>
      <c r="E180" s="6">
        <v>0</v>
      </c>
      <c r="F180" s="6">
        <v>0</v>
      </c>
      <c r="G180" s="6">
        <v>5799.2001953125</v>
      </c>
      <c r="H180" s="6">
        <v>0</v>
      </c>
      <c r="I180" s="6">
        <v>181.05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7">
        <f t="shared" si="5"/>
        <v>5987.4263953125</v>
      </c>
    </row>
    <row r="181" spans="1:18">
      <c r="A181" s="3" t="s">
        <v>24</v>
      </c>
      <c r="B181" s="3" t="s">
        <v>185</v>
      </c>
      <c r="C181" s="3" t="s">
        <v>209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7">
        <f t="shared" si="5"/>
        <v>0</v>
      </c>
    </row>
    <row r="182" spans="1:18">
      <c r="A182" s="3" t="s">
        <v>24</v>
      </c>
      <c r="B182" s="3" t="s">
        <v>185</v>
      </c>
      <c r="C182" s="3" t="s">
        <v>210</v>
      </c>
      <c r="D182" s="6">
        <v>2.745</v>
      </c>
      <c r="E182" s="6">
        <v>0</v>
      </c>
      <c r="F182" s="6">
        <v>0</v>
      </c>
      <c r="G182" s="6">
        <v>2022</v>
      </c>
      <c r="H182" s="6">
        <v>0</v>
      </c>
      <c r="I182" s="6">
        <v>17.25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f t="shared" si="5"/>
        <v>2041.995</v>
      </c>
    </row>
    <row r="183" spans="1:18">
      <c r="A183" s="3" t="s">
        <v>24</v>
      </c>
      <c r="B183" s="3" t="s">
        <v>185</v>
      </c>
      <c r="C183" s="3" t="s">
        <v>211</v>
      </c>
      <c r="D183" s="6">
        <v>3.049</v>
      </c>
      <c r="E183" s="6">
        <v>0</v>
      </c>
      <c r="F183" s="6">
        <v>0</v>
      </c>
      <c r="G183" s="6">
        <v>2802.39990234375</v>
      </c>
      <c r="H183" s="6">
        <v>0</v>
      </c>
      <c r="I183" s="6">
        <v>872.7</v>
      </c>
      <c r="J183" s="6">
        <v>9422.0400390625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7">
        <f t="shared" si="5"/>
        <v>13100.1889414062</v>
      </c>
    </row>
    <row r="184" spans="1:18">
      <c r="A184" s="3" t="s">
        <v>24</v>
      </c>
      <c r="B184" s="3" t="s">
        <v>212</v>
      </c>
      <c r="C184" s="3" t="s">
        <v>213</v>
      </c>
      <c r="D184" s="6">
        <v>0</v>
      </c>
      <c r="E184" s="6">
        <v>526701.625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85043.5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7">
        <f t="shared" si="5"/>
        <v>611745.125</v>
      </c>
    </row>
    <row r="185" spans="1:18">
      <c r="A185" s="3" t="s">
        <v>24</v>
      </c>
      <c r="B185" s="3" t="s">
        <v>212</v>
      </c>
      <c r="C185" s="3" t="s">
        <v>214</v>
      </c>
      <c r="D185" s="6">
        <v>0</v>
      </c>
      <c r="E185" s="6">
        <v>376771.625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397529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7">
        <f t="shared" si="5"/>
        <v>774300.625</v>
      </c>
    </row>
  </sheetData>
  <mergeCells count="1">
    <mergeCell ref="A1:R1"/>
  </mergeCells>
  <pageMargins left="0.699305555555556" right="0.699305555555556" top="0.75" bottom="0.75" header="0.3" footer="0.3"/>
  <pageSetup paperSize="9" orientation="portrait"/>
  <headerFooter/>
  <ignoredErrors>
    <ignoredError sqref="I3:K3 I2 C2 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2022-09-28T06:10:00Z</dcterms:created>
  <dcterms:modified xsi:type="dcterms:W3CDTF">2025-11-03T09:53:32Z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