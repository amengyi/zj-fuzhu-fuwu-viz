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080" windowHeight="13065"/>
  </bookViews>
  <sheets>
    <sheet name="工作表" sheetId="1" r:id="rId1"/>
  </sheets>
  <calcPr calcId="144525"/>
</workbook>
</file>

<file path=xl/sharedStrings.xml><?xml version="1.0" encoding="utf-8"?>
<sst xmlns="http://schemas.openxmlformats.org/spreadsheetml/2006/main" count="230">
  <si>
    <t>2026年4月补偿分项费用</t>
  </si>
  <si>
    <t>有偿一次调频补偿</t>
  </si>
  <si>
    <t>自动发电控制补偿</t>
  </si>
  <si>
    <t>自动功率控制补偿</t>
  </si>
  <si>
    <t>低频调节补偿</t>
  </si>
  <si>
    <t>有偿调峰补偿</t>
  </si>
  <si>
    <t>有偿无功补偿</t>
  </si>
  <si>
    <t>自动电压控制补偿</t>
  </si>
  <si>
    <t>备用补偿</t>
  </si>
  <si>
    <t>有偿转动惯量补偿</t>
  </si>
  <si>
    <t>爬坡补偿</t>
  </si>
  <si>
    <t>稳定切机补偿</t>
  </si>
  <si>
    <t>稳定切负荷补偿</t>
  </si>
  <si>
    <t>快速甩负荷FCB补偿</t>
  </si>
  <si>
    <t>黑启动补偿</t>
  </si>
  <si>
    <t>补偿费用</t>
  </si>
  <si>
    <t>调度</t>
  </si>
  <si>
    <t>类型</t>
  </si>
  <si>
    <t>并网主体</t>
  </si>
  <si>
    <t>补偿费用（元）</t>
  </si>
  <si>
    <t>补偿费用(元)</t>
  </si>
  <si>
    <t>合计（元）</t>
  </si>
  <si>
    <t/>
  </si>
  <si>
    <t>本月汇总</t>
  </si>
  <si>
    <t>浙江省调</t>
  </si>
  <si>
    <t>火电</t>
  </si>
  <si>
    <t>北二厂</t>
  </si>
  <si>
    <t>北仑厂</t>
  </si>
  <si>
    <t>北三厂</t>
  </si>
  <si>
    <t>北四厂</t>
  </si>
  <si>
    <t>苍二厂</t>
  </si>
  <si>
    <t>苍南厂</t>
  </si>
  <si>
    <t>曹娥江</t>
  </si>
  <si>
    <t>长二厂</t>
  </si>
  <si>
    <t>长兴厂</t>
  </si>
  <si>
    <t>大崧厂</t>
  </si>
  <si>
    <t>嘉二厂</t>
  </si>
  <si>
    <t>嘉兴厂</t>
  </si>
  <si>
    <t>巨化厂</t>
  </si>
  <si>
    <t>兰溪厂</t>
  </si>
  <si>
    <t>朗熹电厂</t>
  </si>
  <si>
    <t>朗熹发电厂</t>
  </si>
  <si>
    <t>乐清厂</t>
  </si>
  <si>
    <t>六横厂</t>
  </si>
  <si>
    <t>牛山厂</t>
  </si>
  <si>
    <t>强蛟厂</t>
  </si>
  <si>
    <t>胜龙厂</t>
  </si>
  <si>
    <t>台塑厂</t>
  </si>
  <si>
    <t>台州厂</t>
  </si>
  <si>
    <t>温二厂</t>
  </si>
  <si>
    <t>温州厂</t>
  </si>
  <si>
    <t>温州三厂</t>
  </si>
  <si>
    <t>乌沙山</t>
  </si>
  <si>
    <t>玉环厂</t>
  </si>
  <si>
    <t>招宝山</t>
  </si>
  <si>
    <t>水电</t>
  </si>
  <si>
    <t>丰源厂</t>
  </si>
  <si>
    <t>黄坛口</t>
  </si>
  <si>
    <t>三溪口</t>
  </si>
  <si>
    <t>珊溪厂</t>
  </si>
  <si>
    <t>石水厂</t>
  </si>
  <si>
    <t>滩坑厂</t>
  </si>
  <si>
    <t>乌水厂</t>
  </si>
  <si>
    <t>小溪厂</t>
  </si>
  <si>
    <t>抽蓄</t>
  </si>
  <si>
    <t>宁蓄厂</t>
  </si>
  <si>
    <t>核电</t>
  </si>
  <si>
    <t>秦山厂</t>
  </si>
  <si>
    <t>三澳核电</t>
  </si>
  <si>
    <t>三门厂</t>
  </si>
  <si>
    <t>燃机</t>
  </si>
  <si>
    <t>半燃厂</t>
  </si>
  <si>
    <t>常山厂</t>
  </si>
  <si>
    <t>长燃厂</t>
  </si>
  <si>
    <t>德能厂</t>
  </si>
  <si>
    <t>华舜厂</t>
  </si>
  <si>
    <t>吉能厂</t>
  </si>
  <si>
    <t>江东厂</t>
  </si>
  <si>
    <t>金二厂</t>
  </si>
  <si>
    <t>金燃厂</t>
  </si>
  <si>
    <t>柯城厂</t>
  </si>
  <si>
    <t>蓝天厂</t>
  </si>
  <si>
    <t>龙湾厂</t>
  </si>
  <si>
    <t>龙游厂</t>
  </si>
  <si>
    <t>梅溪燃机</t>
  </si>
  <si>
    <t>唐绍厂</t>
  </si>
  <si>
    <t>桐燃厂</t>
  </si>
  <si>
    <t>下沙厂</t>
  </si>
  <si>
    <t>萧燃厂</t>
  </si>
  <si>
    <t>新城厂</t>
  </si>
  <si>
    <t>新泓口</t>
  </si>
  <si>
    <t>浔宝厂</t>
  </si>
  <si>
    <t>婺城燃机</t>
  </si>
  <si>
    <t>220kV镇海发电厂</t>
  </si>
  <si>
    <t>光伏</t>
  </si>
  <si>
    <t>安南光伏站</t>
  </si>
  <si>
    <t>白渔站</t>
  </si>
  <si>
    <t>百益站</t>
  </si>
  <si>
    <t>草荡站</t>
  </si>
  <si>
    <t>潮汐站</t>
  </si>
  <si>
    <t>大呈站</t>
  </si>
  <si>
    <t>大涂站</t>
  </si>
  <si>
    <t>大柘站</t>
  </si>
  <si>
    <t>道太站</t>
  </si>
  <si>
    <t>登步站</t>
  </si>
  <si>
    <t>汾口站</t>
  </si>
  <si>
    <t>风凌站</t>
  </si>
  <si>
    <t>广洋站</t>
  </si>
  <si>
    <t>海韵站</t>
  </si>
  <si>
    <t>合村光伏站</t>
  </si>
  <si>
    <t>亨泰站</t>
  </si>
  <si>
    <t>宏塔站</t>
  </si>
  <si>
    <t>华博站</t>
  </si>
  <si>
    <t>华芳光伏站</t>
  </si>
  <si>
    <t>华塘站</t>
  </si>
  <si>
    <t>华洋光伏站</t>
  </si>
  <si>
    <t>汇核站</t>
  </si>
  <si>
    <t>汇能站</t>
  </si>
  <si>
    <t>嘉厂站</t>
  </si>
  <si>
    <t>嘉达光伏站</t>
  </si>
  <si>
    <t>佳源站</t>
  </si>
  <si>
    <t>江泰站</t>
  </si>
  <si>
    <t>晶都光伏站</t>
  </si>
  <si>
    <t>晶科站</t>
  </si>
  <si>
    <t>柯泰站</t>
  </si>
  <si>
    <t>兰晶站</t>
  </si>
  <si>
    <t>乐厂站</t>
  </si>
  <si>
    <t>乐泰站</t>
  </si>
  <si>
    <t>里墅站</t>
  </si>
  <si>
    <t>莲花站</t>
  </si>
  <si>
    <t>莲塘站</t>
  </si>
  <si>
    <t>莲岙站</t>
  </si>
  <si>
    <t>凌光站</t>
  </si>
  <si>
    <t>六厂站</t>
  </si>
  <si>
    <t>龙河站</t>
  </si>
  <si>
    <t>龙翔站</t>
  </si>
  <si>
    <t>吕岗站</t>
  </si>
  <si>
    <t>绿能站</t>
  </si>
  <si>
    <t>宁厂站</t>
  </si>
  <si>
    <t>磐新站</t>
  </si>
  <si>
    <t>钱凌光伏站</t>
  </si>
  <si>
    <t>青源站</t>
  </si>
  <si>
    <t>清港站</t>
  </si>
  <si>
    <t>秋塘站</t>
  </si>
  <si>
    <t>日升站</t>
  </si>
  <si>
    <t>融源站</t>
  </si>
  <si>
    <t>盛林站</t>
  </si>
  <si>
    <t>舒能站</t>
  </si>
  <si>
    <t>舒奇站</t>
  </si>
  <si>
    <t>舒泰站</t>
  </si>
  <si>
    <t>泰瀚站</t>
  </si>
  <si>
    <t>碳银光伏站</t>
  </si>
  <si>
    <t>唐景站</t>
  </si>
  <si>
    <t>唐屿站</t>
  </si>
  <si>
    <t>唐源站</t>
  </si>
  <si>
    <t>唐云光伏</t>
  </si>
  <si>
    <t>唐鳌站</t>
  </si>
  <si>
    <t>桃溪站</t>
  </si>
  <si>
    <t>万市站</t>
  </si>
  <si>
    <t>万投站</t>
  </si>
  <si>
    <t>乌厂站</t>
  </si>
  <si>
    <t>武川站</t>
  </si>
  <si>
    <t>溪仑站</t>
  </si>
  <si>
    <t>夏湖站</t>
  </si>
  <si>
    <t>仙丰站</t>
  </si>
  <si>
    <t>祥晖站</t>
  </si>
  <si>
    <t>向阳站</t>
  </si>
  <si>
    <t>协能站</t>
  </si>
  <si>
    <t>欣埠站</t>
  </si>
  <si>
    <t>雅田站</t>
  </si>
  <si>
    <t>益凌站</t>
  </si>
  <si>
    <t>源凌站</t>
  </si>
  <si>
    <t>正能站</t>
  </si>
  <si>
    <t>中节站</t>
  </si>
  <si>
    <t>岚能站</t>
  </si>
  <si>
    <t>岱涂站</t>
  </si>
  <si>
    <t>梓勋光伏站</t>
  </si>
  <si>
    <t>瓯泰站</t>
  </si>
  <si>
    <t>蛟禾站</t>
  </si>
  <si>
    <t>风电</t>
  </si>
  <si>
    <t>百花场</t>
  </si>
  <si>
    <t>苍海场</t>
  </si>
  <si>
    <t>大衢风电</t>
  </si>
  <si>
    <t>鼎峰场</t>
  </si>
  <si>
    <t>福海风电</t>
  </si>
  <si>
    <t>干江场</t>
  </si>
  <si>
    <t>海州场</t>
  </si>
  <si>
    <t>禾海场</t>
  </si>
  <si>
    <t>红山场</t>
  </si>
  <si>
    <t>嘉海场</t>
  </si>
  <si>
    <t>龙母场</t>
  </si>
  <si>
    <t>普陀场</t>
  </si>
  <si>
    <t>润海场</t>
  </si>
  <si>
    <t>涂海场</t>
  </si>
  <si>
    <t>维新场</t>
  </si>
  <si>
    <t>象海场</t>
  </si>
  <si>
    <t>鱼海场</t>
  </si>
  <si>
    <t>玉海场</t>
  </si>
  <si>
    <t>岱山场</t>
  </si>
  <si>
    <t>储能</t>
  </si>
  <si>
    <t>长电储能</t>
  </si>
  <si>
    <t>大有储能</t>
  </si>
  <si>
    <t>定海储能</t>
  </si>
  <si>
    <t>丰门储能</t>
  </si>
  <si>
    <t>郭溪储能</t>
  </si>
  <si>
    <t>国宏储能</t>
  </si>
  <si>
    <t>杭临储能</t>
  </si>
  <si>
    <t>恒新储能</t>
  </si>
  <si>
    <t>江电储能</t>
  </si>
  <si>
    <t>交安储能</t>
  </si>
  <si>
    <t>晶网储能</t>
  </si>
  <si>
    <t>京能储能</t>
  </si>
  <si>
    <t>柯林储能</t>
  </si>
  <si>
    <t>蓝电储能</t>
  </si>
  <si>
    <t>利星储能</t>
  </si>
  <si>
    <t>绿建储能</t>
  </si>
  <si>
    <t>启泰储能</t>
  </si>
  <si>
    <t>泉电储能</t>
  </si>
  <si>
    <t>日昇储能</t>
  </si>
  <si>
    <t>顺发储能</t>
  </si>
  <si>
    <t>万义储能</t>
  </si>
  <si>
    <t>萧电储能</t>
  </si>
  <si>
    <t>萧开储能</t>
  </si>
  <si>
    <t>欣元储能</t>
  </si>
  <si>
    <t>新亭储能</t>
  </si>
  <si>
    <t>星兰储能</t>
  </si>
  <si>
    <t>剡中储能</t>
  </si>
  <si>
    <t>虚拟电厂</t>
  </si>
  <si>
    <t>华能浙江能源聚合中心</t>
  </si>
  <si>
    <t>浙能虚拟能源聚合中心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</si>
</sst>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2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2" fillId="10" borderId="6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2" borderId="4" applyNumberFormat="0" applyFont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0" borderId="3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9" fillId="12" borderId="9" applyNumberFormat="0" applyAlignment="0" applyProtection="0">
      <alignment vertical="center"/>
    </xf>
    <xf numFmtId="0" fontId="13" fillId="12" borderId="6" applyNumberFormat="0" applyAlignment="0" applyProtection="0">
      <alignment vertical="center"/>
    </xf>
    <xf numFmtId="0" fontId="9" fillId="6" borderId="5" applyNumberFormat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R200"/>
  <sheetViews>
    <sheetView tabSelected="1" topLeftCell="G1" workbookViewId="0">
      <selection activeCell="S4" sqref="S4"/>
    </sheetView>
  </sheetViews>
  <sheetFormatPr defaultColWidth="11" defaultRowHeight="14.25"/>
  <cols>
    <col min="2" max="2" width="8.5" style="1"/>
    <col min="3" max="3" width="14.1916666666667" customWidth="1"/>
    <col min="4" max="4" width="17.625" customWidth="1"/>
    <col min="5" max="5" width="18.1916666666667" customWidth="1"/>
    <col min="6" max="6" width="17.125" customWidth="1"/>
    <col min="7" max="7" width="16.3166666666667" style="2" customWidth="1"/>
    <col min="8" max="8" width="15.3166666666667" customWidth="1"/>
    <col min="9" max="10" width="16.3166666666667" customWidth="1"/>
    <col min="11" max="11" width="23.1916666666667" customWidth="1"/>
    <col min="12" max="12" width="19" customWidth="1"/>
    <col min="14" max="14" width="17.75" customWidth="1"/>
    <col min="15" max="15" width="18.125" customWidth="1"/>
    <col min="16" max="16" width="18.5666666666667" customWidth="1"/>
    <col min="17" max="17" width="16.3166666666667" customWidth="1"/>
    <col min="18" max="18" width="13.75"/>
    <col min="19" max="19" width="12.625"/>
  </cols>
  <sheetData>
    <row r="1" spans="1:18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="1" customFormat="1" spans="1:18">
      <c r="A2" s="4"/>
      <c r="B2" s="4"/>
      <c r="C2" s="4"/>
      <c r="D2" s="5" t="s">
        <v>1</v>
      </c>
      <c r="E2" s="5" t="s">
        <v>2</v>
      </c>
      <c r="F2" s="5" t="s">
        <v>3</v>
      </c>
      <c r="G2" s="5" t="s">
        <v>4</v>
      </c>
      <c r="H2" s="5" t="s">
        <v>5</v>
      </c>
      <c r="I2" s="5" t="s">
        <v>6</v>
      </c>
      <c r="J2" s="5" t="s">
        <v>7</v>
      </c>
      <c r="K2" s="4" t="s">
        <v>8</v>
      </c>
      <c r="L2" s="4" t="s">
        <v>9</v>
      </c>
      <c r="M2" s="4" t="s">
        <v>10</v>
      </c>
      <c r="N2" s="4" t="s">
        <v>11</v>
      </c>
      <c r="O2" s="4" t="s">
        <v>12</v>
      </c>
      <c r="P2" s="4" t="s">
        <v>13</v>
      </c>
      <c r="Q2" s="4" t="s">
        <v>14</v>
      </c>
      <c r="R2" s="4" t="s">
        <v>15</v>
      </c>
    </row>
    <row r="3" s="1" customFormat="1" spans="1:18">
      <c r="A3" s="3" t="s">
        <v>16</v>
      </c>
      <c r="B3" s="3" t="s">
        <v>17</v>
      </c>
      <c r="C3" s="6" t="s">
        <v>18</v>
      </c>
      <c r="D3" s="3" t="s">
        <v>19</v>
      </c>
      <c r="E3" s="3" t="s">
        <v>20</v>
      </c>
      <c r="F3" s="3" t="s">
        <v>19</v>
      </c>
      <c r="G3" s="3" t="s">
        <v>19</v>
      </c>
      <c r="H3" s="3" t="s">
        <v>20</v>
      </c>
      <c r="I3" s="3" t="s">
        <v>19</v>
      </c>
      <c r="J3" s="3" t="s">
        <v>19</v>
      </c>
      <c r="K3" s="3" t="s">
        <v>19</v>
      </c>
      <c r="L3" s="3" t="s">
        <v>19</v>
      </c>
      <c r="M3" s="3" t="s">
        <v>19</v>
      </c>
      <c r="N3" s="3" t="s">
        <v>19</v>
      </c>
      <c r="O3" s="3" t="s">
        <v>19</v>
      </c>
      <c r="P3" s="3" t="s">
        <v>19</v>
      </c>
      <c r="Q3" s="3" t="s">
        <v>19</v>
      </c>
      <c r="R3" s="3" t="s">
        <v>21</v>
      </c>
    </row>
    <row r="4" s="1" customFormat="1" spans="1:18">
      <c r="A4" s="3" t="s">
        <v>22</v>
      </c>
      <c r="B4" s="3" t="s">
        <v>22</v>
      </c>
      <c r="C4" s="3" t="s">
        <v>23</v>
      </c>
      <c r="D4" s="6">
        <v>374922.2257</v>
      </c>
      <c r="E4" s="6">
        <v>1181003.9688</v>
      </c>
      <c r="F4" s="6">
        <v>0</v>
      </c>
      <c r="G4" s="6">
        <v>2975505.6</v>
      </c>
      <c r="H4" s="6">
        <v>29521717.90545</v>
      </c>
      <c r="I4" s="6">
        <v>4693592.898</v>
      </c>
      <c r="J4" s="6">
        <v>15709937.686</v>
      </c>
      <c r="K4" s="6">
        <v>26609979.5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280000</v>
      </c>
      <c r="R4" s="7">
        <f>SUM(R5:R200)</f>
        <v>81346659.78395</v>
      </c>
    </row>
    <row r="5" spans="1:18">
      <c r="A5" s="3" t="s">
        <v>24</v>
      </c>
      <c r="B5" s="3" t="s">
        <v>25</v>
      </c>
      <c r="C5" s="3" t="s">
        <v>26</v>
      </c>
      <c r="D5" s="6">
        <v>14850.1777</v>
      </c>
      <c r="E5" s="6">
        <v>0</v>
      </c>
      <c r="F5" s="6">
        <v>0</v>
      </c>
      <c r="G5" s="6">
        <v>111234.8</v>
      </c>
      <c r="H5" s="6">
        <v>219282.82</v>
      </c>
      <c r="I5" s="6">
        <v>2289.969</v>
      </c>
      <c r="J5" s="6">
        <v>592297.2</v>
      </c>
      <c r="K5" s="6">
        <v>729079.5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7">
        <f>SUM(D5:Q5)</f>
        <v>1669034.4667</v>
      </c>
    </row>
    <row r="6" spans="1:18">
      <c r="A6" s="3" t="s">
        <v>24</v>
      </c>
      <c r="B6" s="3" t="s">
        <v>25</v>
      </c>
      <c r="C6" s="3" t="s">
        <v>27</v>
      </c>
      <c r="D6" s="6">
        <v>9117.7758</v>
      </c>
      <c r="E6" s="6">
        <v>0</v>
      </c>
      <c r="F6" s="6">
        <v>0</v>
      </c>
      <c r="G6" s="6">
        <v>110462</v>
      </c>
      <c r="H6" s="6">
        <v>4209.72</v>
      </c>
      <c r="I6" s="6">
        <v>1100.9985</v>
      </c>
      <c r="J6" s="6">
        <v>412864.2</v>
      </c>
      <c r="K6" s="6">
        <v>676623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7">
        <f t="shared" ref="R6:R44" si="0">SUM(D6:Q6)</f>
        <v>1214377.6943</v>
      </c>
    </row>
    <row r="7" spans="1:18">
      <c r="A7" s="3" t="s">
        <v>24</v>
      </c>
      <c r="B7" s="3" t="s">
        <v>25</v>
      </c>
      <c r="C7" s="3" t="s">
        <v>28</v>
      </c>
      <c r="D7" s="6">
        <v>9610.5716</v>
      </c>
      <c r="E7" s="6">
        <v>0</v>
      </c>
      <c r="F7" s="6">
        <v>0</v>
      </c>
      <c r="G7" s="6">
        <v>131032</v>
      </c>
      <c r="H7" s="6">
        <v>280443.41</v>
      </c>
      <c r="I7" s="6">
        <v>955.3755</v>
      </c>
      <c r="J7" s="6">
        <v>386520.75</v>
      </c>
      <c r="K7" s="6">
        <v>973227.5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7">
        <f t="shared" si="0"/>
        <v>1781789.6071</v>
      </c>
    </row>
    <row r="8" spans="1:18">
      <c r="A8" s="3" t="s">
        <v>24</v>
      </c>
      <c r="B8" s="3" t="s">
        <v>25</v>
      </c>
      <c r="C8" s="3" t="s">
        <v>29</v>
      </c>
      <c r="D8" s="6">
        <v>15606.0739</v>
      </c>
      <c r="E8" s="6">
        <v>0</v>
      </c>
      <c r="F8" s="6">
        <v>0</v>
      </c>
      <c r="G8" s="6">
        <v>106075.2</v>
      </c>
      <c r="H8" s="6">
        <v>1351889.915</v>
      </c>
      <c r="I8" s="6">
        <v>8858.1015</v>
      </c>
      <c r="J8" s="6">
        <v>664410</v>
      </c>
      <c r="K8" s="6">
        <v>975641.5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7">
        <f t="shared" si="0"/>
        <v>3122480.7904</v>
      </c>
    </row>
    <row r="9" spans="1:18">
      <c r="A9" s="3" t="s">
        <v>24</v>
      </c>
      <c r="B9" s="3" t="s">
        <v>25</v>
      </c>
      <c r="C9" s="3" t="s">
        <v>30</v>
      </c>
      <c r="D9" s="6">
        <v>14762.4361</v>
      </c>
      <c r="E9" s="6">
        <v>0</v>
      </c>
      <c r="F9" s="6">
        <v>0</v>
      </c>
      <c r="G9" s="6">
        <v>36821.2</v>
      </c>
      <c r="H9" s="6">
        <v>250.68</v>
      </c>
      <c r="I9" s="6">
        <v>5057.169</v>
      </c>
      <c r="J9" s="6">
        <v>682545</v>
      </c>
      <c r="K9" s="6">
        <v>1326087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7">
        <f t="shared" si="0"/>
        <v>2065523.4851</v>
      </c>
    </row>
    <row r="10" spans="1:18">
      <c r="A10" s="3" t="s">
        <v>24</v>
      </c>
      <c r="B10" s="3" t="s">
        <v>25</v>
      </c>
      <c r="C10" s="3" t="s">
        <v>31</v>
      </c>
      <c r="D10" s="6">
        <v>11015.796</v>
      </c>
      <c r="E10" s="6">
        <v>0</v>
      </c>
      <c r="F10" s="6">
        <v>0</v>
      </c>
      <c r="G10" s="6">
        <v>117640.8</v>
      </c>
      <c r="H10" s="6">
        <v>0</v>
      </c>
      <c r="I10" s="6">
        <v>752.8965</v>
      </c>
      <c r="J10" s="6">
        <v>358035</v>
      </c>
      <c r="K10" s="6">
        <v>323332.5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7">
        <f t="shared" si="0"/>
        <v>810776.9925</v>
      </c>
    </row>
    <row r="11" spans="1:18">
      <c r="A11" s="3" t="s">
        <v>24</v>
      </c>
      <c r="B11" s="3" t="s">
        <v>25</v>
      </c>
      <c r="C11" s="3" t="s">
        <v>32</v>
      </c>
      <c r="D11" s="6">
        <v>4525.7027</v>
      </c>
      <c r="E11" s="6">
        <v>0</v>
      </c>
      <c r="F11" s="6">
        <v>0</v>
      </c>
      <c r="G11" s="6">
        <v>12967.2</v>
      </c>
      <c r="H11" s="6">
        <v>0</v>
      </c>
      <c r="I11" s="6">
        <v>353703.3</v>
      </c>
      <c r="J11" s="6">
        <v>201725.4</v>
      </c>
      <c r="K11" s="6">
        <v>733263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7">
        <f t="shared" si="0"/>
        <v>1306184.6027</v>
      </c>
    </row>
    <row r="12" spans="1:18">
      <c r="A12" s="3" t="s">
        <v>24</v>
      </c>
      <c r="B12" s="3" t="s">
        <v>25</v>
      </c>
      <c r="C12" s="3" t="s">
        <v>33</v>
      </c>
      <c r="D12" s="6">
        <v>11157.6918</v>
      </c>
      <c r="E12" s="6">
        <v>0</v>
      </c>
      <c r="F12" s="6">
        <v>0</v>
      </c>
      <c r="G12" s="6">
        <v>133834.4</v>
      </c>
      <c r="H12" s="6">
        <v>726008.23993</v>
      </c>
      <c r="I12" s="6">
        <v>4738.9155</v>
      </c>
      <c r="J12" s="6">
        <v>402651.15</v>
      </c>
      <c r="K12" s="6">
        <v>570721.5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7">
        <f t="shared" si="0"/>
        <v>1849111.89723</v>
      </c>
    </row>
    <row r="13" spans="1:18">
      <c r="A13" s="3" t="s">
        <v>24</v>
      </c>
      <c r="B13" s="3" t="s">
        <v>25</v>
      </c>
      <c r="C13" s="3" t="s">
        <v>34</v>
      </c>
      <c r="D13" s="6">
        <v>8383.5966</v>
      </c>
      <c r="E13" s="6">
        <v>0</v>
      </c>
      <c r="F13" s="6">
        <v>0</v>
      </c>
      <c r="G13" s="6">
        <v>33002.4</v>
      </c>
      <c r="H13" s="6">
        <v>581065.69</v>
      </c>
      <c r="I13" s="6">
        <v>15190.785</v>
      </c>
      <c r="J13" s="6">
        <v>404085</v>
      </c>
      <c r="K13" s="6">
        <v>1007888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7">
        <f t="shared" si="0"/>
        <v>2049615.4716</v>
      </c>
    </row>
    <row r="14" spans="1:18">
      <c r="A14" s="3" t="s">
        <v>24</v>
      </c>
      <c r="B14" s="3" t="s">
        <v>25</v>
      </c>
      <c r="C14" s="3" t="s">
        <v>35</v>
      </c>
      <c r="D14" s="6">
        <v>13083.1224</v>
      </c>
      <c r="E14" s="6">
        <v>0</v>
      </c>
      <c r="F14" s="6">
        <v>0</v>
      </c>
      <c r="G14" s="6">
        <v>0</v>
      </c>
      <c r="H14" s="6">
        <v>777252.778</v>
      </c>
      <c r="I14" s="6">
        <v>66.372</v>
      </c>
      <c r="J14" s="6">
        <v>672130</v>
      </c>
      <c r="K14" s="6">
        <v>694546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7">
        <f t="shared" si="0"/>
        <v>2157078.2724</v>
      </c>
    </row>
    <row r="15" spans="1:18">
      <c r="A15" s="3" t="s">
        <v>24</v>
      </c>
      <c r="B15" s="3" t="s">
        <v>25</v>
      </c>
      <c r="C15" s="3" t="s">
        <v>36</v>
      </c>
      <c r="D15" s="6">
        <v>20188.9436</v>
      </c>
      <c r="E15" s="6">
        <v>0</v>
      </c>
      <c r="F15" s="6">
        <v>0</v>
      </c>
      <c r="G15" s="6">
        <v>120952.4</v>
      </c>
      <c r="H15" s="6">
        <v>3423810.67</v>
      </c>
      <c r="I15" s="6">
        <v>71083.6305</v>
      </c>
      <c r="J15" s="6">
        <v>466330.3</v>
      </c>
      <c r="K15" s="6">
        <v>1553699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7">
        <f t="shared" si="0"/>
        <v>5656064.9441</v>
      </c>
    </row>
    <row r="16" spans="1:18">
      <c r="A16" s="3" t="s">
        <v>24</v>
      </c>
      <c r="B16" s="3" t="s">
        <v>25</v>
      </c>
      <c r="C16" s="3" t="s">
        <v>37</v>
      </c>
      <c r="D16" s="6">
        <v>6582.4828</v>
      </c>
      <c r="E16" s="6">
        <v>0</v>
      </c>
      <c r="F16" s="6">
        <v>0</v>
      </c>
      <c r="G16" s="6">
        <v>90169.6</v>
      </c>
      <c r="H16" s="6">
        <v>19985.99</v>
      </c>
      <c r="I16" s="6">
        <v>8065.4715</v>
      </c>
      <c r="J16" s="6">
        <v>231734.25</v>
      </c>
      <c r="K16" s="6">
        <v>295646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7">
        <f t="shared" si="0"/>
        <v>652183.7943</v>
      </c>
    </row>
    <row r="17" spans="1:18">
      <c r="A17" s="3" t="s">
        <v>24</v>
      </c>
      <c r="B17" s="3" t="s">
        <v>25</v>
      </c>
      <c r="C17" s="3" t="s">
        <v>38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492407.1225</v>
      </c>
      <c r="J17" s="6">
        <v>0</v>
      </c>
      <c r="K17" s="6">
        <v>78671.5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7">
        <f t="shared" si="0"/>
        <v>571078.6225</v>
      </c>
    </row>
    <row r="18" spans="1:18">
      <c r="A18" s="3" t="s">
        <v>24</v>
      </c>
      <c r="B18" s="3" t="s">
        <v>25</v>
      </c>
      <c r="C18" s="3" t="s">
        <v>39</v>
      </c>
      <c r="D18" s="6">
        <v>16500.7199</v>
      </c>
      <c r="E18" s="6">
        <v>0</v>
      </c>
      <c r="F18" s="6">
        <v>0</v>
      </c>
      <c r="G18" s="6">
        <v>250740.4</v>
      </c>
      <c r="H18" s="6">
        <v>493327.46</v>
      </c>
      <c r="I18" s="6">
        <v>5753.6445</v>
      </c>
      <c r="J18" s="6">
        <v>704269.5</v>
      </c>
      <c r="K18" s="6">
        <v>1044430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7">
        <f t="shared" si="0"/>
        <v>2515021.7244</v>
      </c>
    </row>
    <row r="19" spans="1:18">
      <c r="A19" s="3" t="s">
        <v>24</v>
      </c>
      <c r="B19" s="3" t="s">
        <v>25</v>
      </c>
      <c r="C19" s="3" t="s">
        <v>40</v>
      </c>
      <c r="D19" s="6">
        <v>5975.6634</v>
      </c>
      <c r="E19" s="6">
        <v>0</v>
      </c>
      <c r="F19" s="6">
        <v>0</v>
      </c>
      <c r="G19" s="6">
        <v>68571.2</v>
      </c>
      <c r="H19" s="6">
        <v>6131.42</v>
      </c>
      <c r="I19" s="6">
        <v>44114.5995</v>
      </c>
      <c r="J19" s="6">
        <v>214402.475</v>
      </c>
      <c r="K19" s="6">
        <v>253606.5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7">
        <f t="shared" si="0"/>
        <v>592801.8579</v>
      </c>
    </row>
    <row r="20" spans="1:18">
      <c r="A20" s="3" t="s">
        <v>24</v>
      </c>
      <c r="B20" s="3" t="s">
        <v>25</v>
      </c>
      <c r="C20" s="3" t="s">
        <v>41</v>
      </c>
      <c r="D20" s="6">
        <v>3038.1126</v>
      </c>
      <c r="E20" s="6">
        <v>0</v>
      </c>
      <c r="F20" s="6">
        <v>0</v>
      </c>
      <c r="G20" s="6">
        <v>0</v>
      </c>
      <c r="H20" s="6">
        <v>589381.16</v>
      </c>
      <c r="I20" s="6">
        <v>188.0145</v>
      </c>
      <c r="J20" s="6">
        <v>316077.3</v>
      </c>
      <c r="K20" s="6">
        <v>348993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7">
        <f t="shared" si="0"/>
        <v>1257677.5871</v>
      </c>
    </row>
    <row r="21" spans="1:18">
      <c r="A21" s="3" t="s">
        <v>24</v>
      </c>
      <c r="B21" s="3" t="s">
        <v>25</v>
      </c>
      <c r="C21" s="3" t="s">
        <v>42</v>
      </c>
      <c r="D21" s="6">
        <v>13623.0689</v>
      </c>
      <c r="E21" s="6">
        <v>0</v>
      </c>
      <c r="F21" s="6">
        <v>0</v>
      </c>
      <c r="G21" s="6">
        <v>132213.6</v>
      </c>
      <c r="H21" s="6">
        <v>546188.9845</v>
      </c>
      <c r="I21" s="6">
        <v>187.4235</v>
      </c>
      <c r="J21" s="6">
        <v>679212.6</v>
      </c>
      <c r="K21" s="6">
        <v>1284044.5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7">
        <f t="shared" si="0"/>
        <v>2655470.1769</v>
      </c>
    </row>
    <row r="22" spans="1:18">
      <c r="A22" s="3" t="s">
        <v>24</v>
      </c>
      <c r="B22" s="3" t="s">
        <v>25</v>
      </c>
      <c r="C22" s="3" t="s">
        <v>43</v>
      </c>
      <c r="D22" s="6">
        <v>13357.396</v>
      </c>
      <c r="E22" s="6">
        <v>0</v>
      </c>
      <c r="F22" s="6">
        <v>0</v>
      </c>
      <c r="G22" s="6">
        <v>22932.4</v>
      </c>
      <c r="H22" s="6">
        <v>1437087.63</v>
      </c>
      <c r="I22" s="6">
        <v>10658.8335</v>
      </c>
      <c r="J22" s="6">
        <v>557723.45</v>
      </c>
      <c r="K22" s="6">
        <v>903330.5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7">
        <f t="shared" si="0"/>
        <v>2945090.2095</v>
      </c>
    </row>
    <row r="23" spans="1:18">
      <c r="A23" s="3" t="s">
        <v>24</v>
      </c>
      <c r="B23" s="3" t="s">
        <v>25</v>
      </c>
      <c r="C23" s="3" t="s">
        <v>44</v>
      </c>
      <c r="D23" s="6">
        <v>34337.1355</v>
      </c>
      <c r="E23" s="6">
        <v>0</v>
      </c>
      <c r="F23" s="6">
        <v>0</v>
      </c>
      <c r="G23" s="6">
        <v>204826</v>
      </c>
      <c r="H23" s="6">
        <v>623176.6</v>
      </c>
      <c r="I23" s="6">
        <v>0</v>
      </c>
      <c r="J23" s="6">
        <v>720310.5</v>
      </c>
      <c r="K23" s="6">
        <v>1612947.5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7">
        <f t="shared" si="0"/>
        <v>3195597.7355</v>
      </c>
    </row>
    <row r="24" spans="1:18">
      <c r="A24" s="3" t="s">
        <v>24</v>
      </c>
      <c r="B24" s="3" t="s">
        <v>25</v>
      </c>
      <c r="C24" s="3" t="s">
        <v>45</v>
      </c>
      <c r="D24" s="6">
        <v>26707.8479</v>
      </c>
      <c r="E24" s="6">
        <v>0</v>
      </c>
      <c r="F24" s="6">
        <v>0</v>
      </c>
      <c r="G24" s="6">
        <v>275134</v>
      </c>
      <c r="H24" s="6">
        <v>1107781.88</v>
      </c>
      <c r="I24" s="6">
        <v>126.3105</v>
      </c>
      <c r="J24" s="6">
        <v>860746.95</v>
      </c>
      <c r="K24" s="6">
        <v>1170994.5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7">
        <f t="shared" si="0"/>
        <v>3441491.4884</v>
      </c>
    </row>
    <row r="25" spans="1:18">
      <c r="A25" s="3" t="s">
        <v>24</v>
      </c>
      <c r="B25" s="3" t="s">
        <v>25</v>
      </c>
      <c r="C25" s="3" t="s">
        <v>46</v>
      </c>
      <c r="D25" s="6">
        <v>20681.5092</v>
      </c>
      <c r="E25" s="6">
        <v>0</v>
      </c>
      <c r="F25" s="6">
        <v>0</v>
      </c>
      <c r="G25" s="6">
        <v>70556.4</v>
      </c>
      <c r="H25" s="6">
        <v>377500</v>
      </c>
      <c r="I25" s="6">
        <v>1572.222</v>
      </c>
      <c r="J25" s="6">
        <v>745842.8</v>
      </c>
      <c r="K25" s="6">
        <v>1412990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7">
        <f t="shared" si="0"/>
        <v>2629142.9312</v>
      </c>
    </row>
    <row r="26" spans="1:18">
      <c r="A26" s="3" t="s">
        <v>24</v>
      </c>
      <c r="B26" s="3" t="s">
        <v>25</v>
      </c>
      <c r="C26" s="3" t="s">
        <v>47</v>
      </c>
      <c r="D26" s="6">
        <v>484.599</v>
      </c>
      <c r="E26" s="6">
        <v>0</v>
      </c>
      <c r="F26" s="6">
        <v>0</v>
      </c>
      <c r="G26" s="6">
        <v>0</v>
      </c>
      <c r="H26" s="6">
        <v>12881.85</v>
      </c>
      <c r="I26" s="6">
        <v>36.2145</v>
      </c>
      <c r="J26" s="6">
        <v>0</v>
      </c>
      <c r="K26" s="6">
        <v>277827.5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7">
        <f t="shared" si="0"/>
        <v>291230.1635</v>
      </c>
    </row>
    <row r="27" spans="1:18">
      <c r="A27" s="3" t="s">
        <v>24</v>
      </c>
      <c r="B27" s="3" t="s">
        <v>25</v>
      </c>
      <c r="C27" s="3" t="s">
        <v>48</v>
      </c>
      <c r="D27" s="6">
        <v>7088.9551</v>
      </c>
      <c r="E27" s="6">
        <v>0</v>
      </c>
      <c r="F27" s="6">
        <v>0</v>
      </c>
      <c r="G27" s="6">
        <v>91356.4</v>
      </c>
      <c r="H27" s="6">
        <v>198409.62</v>
      </c>
      <c r="I27" s="6">
        <v>1063.542</v>
      </c>
      <c r="J27" s="6">
        <v>375291.35</v>
      </c>
      <c r="K27" s="6">
        <v>168423.5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7">
        <f t="shared" si="0"/>
        <v>841633.3671</v>
      </c>
    </row>
    <row r="28" spans="1:18">
      <c r="A28" s="3" t="s">
        <v>24</v>
      </c>
      <c r="B28" s="3" t="s">
        <v>25</v>
      </c>
      <c r="C28" s="3" t="s">
        <v>49</v>
      </c>
      <c r="D28" s="6">
        <v>4694.6442</v>
      </c>
      <c r="E28" s="6">
        <v>0</v>
      </c>
      <c r="F28" s="6">
        <v>0</v>
      </c>
      <c r="G28" s="6">
        <v>77235.2</v>
      </c>
      <c r="H28" s="6">
        <v>391947.74</v>
      </c>
      <c r="I28" s="6">
        <v>2194.713</v>
      </c>
      <c r="J28" s="6">
        <v>207203.7</v>
      </c>
      <c r="K28" s="6">
        <v>198534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7">
        <f t="shared" si="0"/>
        <v>881809.9972</v>
      </c>
    </row>
    <row r="29" spans="1:18">
      <c r="A29" s="3" t="s">
        <v>24</v>
      </c>
      <c r="B29" s="3" t="s">
        <v>25</v>
      </c>
      <c r="C29" s="3" t="s">
        <v>50</v>
      </c>
      <c r="D29" s="6">
        <v>5159.8238</v>
      </c>
      <c r="E29" s="6">
        <v>0</v>
      </c>
      <c r="F29" s="6">
        <v>0</v>
      </c>
      <c r="G29" s="6">
        <v>47066.8</v>
      </c>
      <c r="H29" s="6">
        <v>20692.69</v>
      </c>
      <c r="I29" s="6">
        <v>12349.479</v>
      </c>
      <c r="J29" s="6">
        <v>250433.7</v>
      </c>
      <c r="K29" s="6">
        <v>595004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7">
        <f t="shared" si="0"/>
        <v>930706.4928</v>
      </c>
    </row>
    <row r="30" spans="1:18">
      <c r="A30" s="3" t="s">
        <v>24</v>
      </c>
      <c r="B30" s="3" t="s">
        <v>25</v>
      </c>
      <c r="C30" s="3" t="s">
        <v>51</v>
      </c>
      <c r="D30" s="6">
        <v>4348.6015</v>
      </c>
      <c r="E30" s="6">
        <v>0</v>
      </c>
      <c r="F30" s="6">
        <v>0</v>
      </c>
      <c r="G30" s="6">
        <v>14016.8</v>
      </c>
      <c r="H30" s="6">
        <v>553719.74442</v>
      </c>
      <c r="I30" s="6">
        <v>7842.324</v>
      </c>
      <c r="J30" s="6">
        <v>215742.45</v>
      </c>
      <c r="K30" s="6">
        <v>120882.5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7">
        <f t="shared" si="0"/>
        <v>916552.41992</v>
      </c>
    </row>
    <row r="31" spans="1:18">
      <c r="A31" s="3" t="s">
        <v>24</v>
      </c>
      <c r="B31" s="3" t="s">
        <v>25</v>
      </c>
      <c r="C31" s="3" t="s">
        <v>52</v>
      </c>
      <c r="D31" s="6">
        <v>10988.7824</v>
      </c>
      <c r="E31" s="6">
        <v>0</v>
      </c>
      <c r="F31" s="6">
        <v>0</v>
      </c>
      <c r="G31" s="6">
        <v>118659.6</v>
      </c>
      <c r="H31" s="6">
        <v>1236635.1136</v>
      </c>
      <c r="I31" s="6">
        <v>4182.5565</v>
      </c>
      <c r="J31" s="6">
        <v>645505.25</v>
      </c>
      <c r="K31" s="6">
        <v>1267269.5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7">
        <f t="shared" si="0"/>
        <v>3283240.8025</v>
      </c>
    </row>
    <row r="32" spans="1:18">
      <c r="A32" s="3" t="s">
        <v>24</v>
      </c>
      <c r="B32" s="3" t="s">
        <v>25</v>
      </c>
      <c r="C32" s="3" t="s">
        <v>53</v>
      </c>
      <c r="D32" s="6">
        <v>37580.0896</v>
      </c>
      <c r="E32" s="6">
        <v>0</v>
      </c>
      <c r="F32" s="6">
        <v>0</v>
      </c>
      <c r="G32" s="6">
        <v>307678</v>
      </c>
      <c r="H32" s="6">
        <v>876353.41</v>
      </c>
      <c r="I32" s="6">
        <v>1904.211</v>
      </c>
      <c r="J32" s="6">
        <v>1431354.975</v>
      </c>
      <c r="K32" s="6">
        <v>1843303.5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7">
        <f t="shared" si="0"/>
        <v>4498174.1856</v>
      </c>
    </row>
    <row r="33" spans="1:18">
      <c r="A33" s="3" t="s">
        <v>24</v>
      </c>
      <c r="B33" s="3" t="s">
        <v>25</v>
      </c>
      <c r="C33" s="3" t="s">
        <v>54</v>
      </c>
      <c r="D33" s="6">
        <v>14208.8806</v>
      </c>
      <c r="E33" s="6">
        <v>0</v>
      </c>
      <c r="F33" s="6">
        <v>0</v>
      </c>
      <c r="G33" s="6">
        <v>85033.2</v>
      </c>
      <c r="H33" s="6">
        <v>829158.362</v>
      </c>
      <c r="I33" s="6">
        <v>10283.103</v>
      </c>
      <c r="J33" s="6">
        <v>449384.1</v>
      </c>
      <c r="K33" s="6">
        <v>678440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7">
        <f t="shared" si="0"/>
        <v>2066507.6456</v>
      </c>
    </row>
    <row r="34" spans="1:18">
      <c r="A34" s="3" t="s">
        <v>24</v>
      </c>
      <c r="B34" s="3" t="s">
        <v>55</v>
      </c>
      <c r="C34" s="3" t="s">
        <v>56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16.836</v>
      </c>
      <c r="J34" s="6">
        <v>0</v>
      </c>
      <c r="K34" s="6">
        <v>2772.5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7">
        <f t="shared" si="0"/>
        <v>2789.336</v>
      </c>
    </row>
    <row r="35" spans="1:18">
      <c r="A35" s="3" t="s">
        <v>24</v>
      </c>
      <c r="B35" s="3" t="s">
        <v>55</v>
      </c>
      <c r="C35" s="3" t="s">
        <v>57</v>
      </c>
      <c r="D35" s="6">
        <v>0</v>
      </c>
      <c r="E35" s="6">
        <v>0</v>
      </c>
      <c r="F35" s="6">
        <v>0</v>
      </c>
      <c r="G35" s="6">
        <v>0</v>
      </c>
      <c r="H35" s="6">
        <v>12421.292</v>
      </c>
      <c r="I35" s="6">
        <v>5.1435</v>
      </c>
      <c r="J35" s="6">
        <v>0</v>
      </c>
      <c r="K35" s="6">
        <v>742.5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7">
        <f t="shared" si="0"/>
        <v>13168.9355</v>
      </c>
    </row>
    <row r="36" spans="1:18">
      <c r="A36" s="3" t="s">
        <v>24</v>
      </c>
      <c r="B36" s="3" t="s">
        <v>55</v>
      </c>
      <c r="C36" s="3" t="s">
        <v>58</v>
      </c>
      <c r="D36" s="6">
        <v>6.244</v>
      </c>
      <c r="E36" s="6">
        <v>0</v>
      </c>
      <c r="F36" s="6">
        <v>0</v>
      </c>
      <c r="G36" s="6">
        <v>251.2</v>
      </c>
      <c r="H36" s="6">
        <v>6893.1</v>
      </c>
      <c r="I36" s="6">
        <v>6.903</v>
      </c>
      <c r="J36" s="6">
        <v>0</v>
      </c>
      <c r="K36" s="6">
        <v>19920.5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40000</v>
      </c>
      <c r="R36" s="7">
        <f t="shared" si="0"/>
        <v>67077.947</v>
      </c>
    </row>
    <row r="37" spans="1:18">
      <c r="A37" s="3" t="s">
        <v>24</v>
      </c>
      <c r="B37" s="3" t="s">
        <v>55</v>
      </c>
      <c r="C37" s="3" t="s">
        <v>59</v>
      </c>
      <c r="D37" s="6">
        <v>13.1274</v>
      </c>
      <c r="E37" s="6">
        <v>0</v>
      </c>
      <c r="F37" s="6">
        <v>0</v>
      </c>
      <c r="G37" s="6">
        <v>0</v>
      </c>
      <c r="H37" s="6">
        <v>104070.825</v>
      </c>
      <c r="I37" s="6">
        <v>719.037</v>
      </c>
      <c r="J37" s="6">
        <v>7802.25</v>
      </c>
      <c r="K37" s="6">
        <v>9150.5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40000</v>
      </c>
      <c r="R37" s="7">
        <f t="shared" si="0"/>
        <v>161755.7394</v>
      </c>
    </row>
    <row r="38" spans="1:18">
      <c r="A38" s="3" t="s">
        <v>24</v>
      </c>
      <c r="B38" s="3" t="s">
        <v>55</v>
      </c>
      <c r="C38" s="3" t="s">
        <v>60</v>
      </c>
      <c r="D38" s="6">
        <v>7.8644</v>
      </c>
      <c r="E38" s="6">
        <v>0</v>
      </c>
      <c r="F38" s="6">
        <v>0</v>
      </c>
      <c r="G38" s="6">
        <v>0</v>
      </c>
      <c r="H38" s="6">
        <v>4246.1562</v>
      </c>
      <c r="I38" s="6">
        <v>207.1455</v>
      </c>
      <c r="J38" s="6">
        <v>0</v>
      </c>
      <c r="K38" s="6">
        <v>14678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40000</v>
      </c>
      <c r="R38" s="7">
        <f t="shared" si="0"/>
        <v>59139.1661</v>
      </c>
    </row>
    <row r="39" spans="1:18">
      <c r="A39" s="3" t="s">
        <v>24</v>
      </c>
      <c r="B39" s="3" t="s">
        <v>55</v>
      </c>
      <c r="C39" s="3" t="s">
        <v>61</v>
      </c>
      <c r="D39" s="6">
        <v>47.9248</v>
      </c>
      <c r="E39" s="6">
        <v>0</v>
      </c>
      <c r="F39" s="6">
        <v>0</v>
      </c>
      <c r="G39" s="6">
        <v>0</v>
      </c>
      <c r="H39" s="6">
        <v>375174.9</v>
      </c>
      <c r="I39" s="6">
        <v>1339.9365</v>
      </c>
      <c r="J39" s="6">
        <v>49451</v>
      </c>
      <c r="K39" s="6">
        <v>56370.5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40000</v>
      </c>
      <c r="R39" s="7">
        <f t="shared" si="0"/>
        <v>522384.2613</v>
      </c>
    </row>
    <row r="40" spans="1:18">
      <c r="A40" s="3" t="s">
        <v>24</v>
      </c>
      <c r="B40" s="3" t="s">
        <v>55</v>
      </c>
      <c r="C40" s="3" t="s">
        <v>62</v>
      </c>
      <c r="D40" s="6">
        <v>12.5208</v>
      </c>
      <c r="E40" s="6">
        <v>0</v>
      </c>
      <c r="F40" s="6">
        <v>0</v>
      </c>
      <c r="G40" s="6">
        <v>0</v>
      </c>
      <c r="H40" s="6">
        <v>142691.62</v>
      </c>
      <c r="I40" s="6">
        <v>364.3725</v>
      </c>
      <c r="J40" s="6">
        <v>33759.65</v>
      </c>
      <c r="K40" s="6">
        <v>32456.5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40000</v>
      </c>
      <c r="R40" s="7">
        <f t="shared" si="0"/>
        <v>249284.6633</v>
      </c>
    </row>
    <row r="41" spans="1:18">
      <c r="A41" s="3" t="s">
        <v>24</v>
      </c>
      <c r="B41" s="3" t="s">
        <v>55</v>
      </c>
      <c r="C41" s="3" t="s">
        <v>63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7">
        <f t="shared" si="0"/>
        <v>0</v>
      </c>
    </row>
    <row r="42" spans="1:18">
      <c r="A42" s="3" t="s">
        <v>24</v>
      </c>
      <c r="B42" s="3" t="s">
        <v>64</v>
      </c>
      <c r="C42" s="3" t="s">
        <v>65</v>
      </c>
      <c r="D42" s="6">
        <v>1.614</v>
      </c>
      <c r="E42" s="6">
        <v>0</v>
      </c>
      <c r="F42" s="6">
        <v>0</v>
      </c>
      <c r="G42" s="6">
        <v>0</v>
      </c>
      <c r="H42" s="6">
        <v>0</v>
      </c>
      <c r="I42" s="6">
        <v>680.88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80000</v>
      </c>
      <c r="R42" s="7">
        <f t="shared" si="0"/>
        <v>80682.494</v>
      </c>
    </row>
    <row r="43" spans="1:18">
      <c r="A43" s="3" t="s">
        <v>24</v>
      </c>
      <c r="B43" s="3" t="s">
        <v>66</v>
      </c>
      <c r="C43" s="3" t="s">
        <v>67</v>
      </c>
      <c r="D43" s="6">
        <v>0</v>
      </c>
      <c r="E43" s="6">
        <v>0</v>
      </c>
      <c r="F43" s="6">
        <v>0</v>
      </c>
      <c r="G43" s="6">
        <v>0</v>
      </c>
      <c r="H43" s="6">
        <v>328979.54</v>
      </c>
      <c r="I43" s="6">
        <v>0</v>
      </c>
      <c r="J43" s="6">
        <v>0</v>
      </c>
      <c r="K43" s="6">
        <v>25427.5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7">
        <f t="shared" si="0"/>
        <v>354407.04</v>
      </c>
    </row>
    <row r="44" spans="1:18">
      <c r="A44" s="3" t="s">
        <v>24</v>
      </c>
      <c r="B44" s="3" t="s">
        <v>66</v>
      </c>
      <c r="C44" s="3" t="s">
        <v>68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30023.793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7">
        <f t="shared" si="0"/>
        <v>30023.793</v>
      </c>
    </row>
    <row r="45" spans="1:18">
      <c r="A45" s="3" t="s">
        <v>24</v>
      </c>
      <c r="B45" s="3" t="s">
        <v>66</v>
      </c>
      <c r="C45" s="3" t="s">
        <v>69</v>
      </c>
      <c r="D45" s="6">
        <v>0</v>
      </c>
      <c r="E45" s="6">
        <v>0</v>
      </c>
      <c r="F45" s="6">
        <v>0</v>
      </c>
      <c r="G45" s="6">
        <v>0</v>
      </c>
      <c r="H45" s="6">
        <v>2738846.29</v>
      </c>
      <c r="I45" s="6">
        <v>0</v>
      </c>
      <c r="J45" s="6">
        <v>0</v>
      </c>
      <c r="K45" s="6">
        <v>67334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7">
        <f t="shared" ref="R45:R70" si="1">SUM(D45:Q45)</f>
        <v>2806180.29</v>
      </c>
    </row>
    <row r="46" spans="1:18">
      <c r="A46" s="3" t="s">
        <v>24</v>
      </c>
      <c r="B46" s="3" t="s">
        <v>70</v>
      </c>
      <c r="C46" s="3" t="s">
        <v>71</v>
      </c>
      <c r="D46" s="6">
        <v>3220.2419</v>
      </c>
      <c r="E46" s="6">
        <v>0</v>
      </c>
      <c r="F46" s="6">
        <v>0</v>
      </c>
      <c r="G46" s="6">
        <v>30616.8</v>
      </c>
      <c r="H46" s="6">
        <v>1684144.8</v>
      </c>
      <c r="I46" s="6">
        <v>5049.444</v>
      </c>
      <c r="J46" s="6">
        <v>99366.075</v>
      </c>
      <c r="K46" s="6">
        <v>284341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7">
        <f t="shared" si="1"/>
        <v>2106738.3609</v>
      </c>
    </row>
    <row r="47" spans="1:18">
      <c r="A47" s="3" t="s">
        <v>24</v>
      </c>
      <c r="B47" s="3" t="s">
        <v>70</v>
      </c>
      <c r="C47" s="3" t="s">
        <v>72</v>
      </c>
      <c r="D47" s="6">
        <v>1134.1164</v>
      </c>
      <c r="E47" s="6">
        <v>0</v>
      </c>
      <c r="F47" s="6">
        <v>0</v>
      </c>
      <c r="G47" s="6">
        <v>0</v>
      </c>
      <c r="H47" s="6">
        <v>194650</v>
      </c>
      <c r="I47" s="6">
        <v>55.896</v>
      </c>
      <c r="J47" s="6">
        <v>53721.11</v>
      </c>
      <c r="K47" s="6">
        <v>95989.5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7">
        <f t="shared" si="1"/>
        <v>345550.6224</v>
      </c>
    </row>
    <row r="48" spans="1:18">
      <c r="A48" s="3" t="s">
        <v>24</v>
      </c>
      <c r="B48" s="3" t="s">
        <v>70</v>
      </c>
      <c r="C48" s="3" t="s">
        <v>73</v>
      </c>
      <c r="D48" s="6">
        <v>206.2643</v>
      </c>
      <c r="E48" s="6">
        <v>0</v>
      </c>
      <c r="F48" s="6">
        <v>0</v>
      </c>
      <c r="G48" s="6">
        <v>0</v>
      </c>
      <c r="H48" s="6">
        <v>36970.65</v>
      </c>
      <c r="I48" s="6">
        <v>2615.172</v>
      </c>
      <c r="J48" s="6">
        <v>17091.15</v>
      </c>
      <c r="K48" s="6">
        <v>504244.5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7">
        <f t="shared" si="1"/>
        <v>561127.7363</v>
      </c>
    </row>
    <row r="49" spans="1:18">
      <c r="A49" s="3" t="s">
        <v>24</v>
      </c>
      <c r="B49" s="3" t="s">
        <v>70</v>
      </c>
      <c r="C49" s="3" t="s">
        <v>74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475.0515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7">
        <f t="shared" si="1"/>
        <v>475.0515</v>
      </c>
    </row>
    <row r="50" spans="1:18">
      <c r="A50" s="3" t="s">
        <v>24</v>
      </c>
      <c r="B50" s="3" t="s">
        <v>70</v>
      </c>
      <c r="C50" s="3" t="s">
        <v>75</v>
      </c>
      <c r="D50" s="6">
        <v>1447.0734</v>
      </c>
      <c r="E50" s="6">
        <v>0</v>
      </c>
      <c r="F50" s="6">
        <v>0</v>
      </c>
      <c r="G50" s="6">
        <v>25388.8</v>
      </c>
      <c r="H50" s="6">
        <v>869786.06</v>
      </c>
      <c r="I50" s="6">
        <v>6248.1135</v>
      </c>
      <c r="J50" s="6">
        <v>71070.04</v>
      </c>
      <c r="K50" s="6">
        <v>561840.5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7">
        <f t="shared" si="1"/>
        <v>1535780.5869</v>
      </c>
    </row>
    <row r="51" spans="1:18">
      <c r="A51" s="3" t="s">
        <v>24</v>
      </c>
      <c r="B51" s="3" t="s">
        <v>70</v>
      </c>
      <c r="C51" s="3" t="s">
        <v>76</v>
      </c>
      <c r="D51" s="6">
        <v>62.4769</v>
      </c>
      <c r="E51" s="6">
        <v>0</v>
      </c>
      <c r="F51" s="6">
        <v>0</v>
      </c>
      <c r="G51" s="6">
        <v>0</v>
      </c>
      <c r="H51" s="6">
        <v>114155</v>
      </c>
      <c r="I51" s="6">
        <v>2261.7855</v>
      </c>
      <c r="J51" s="6">
        <v>3109.835</v>
      </c>
      <c r="K51" s="6">
        <v>17493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7">
        <f t="shared" si="1"/>
        <v>137082.0974</v>
      </c>
    </row>
    <row r="52" spans="1:18">
      <c r="A52" s="3" t="s">
        <v>24</v>
      </c>
      <c r="B52" s="3" t="s">
        <v>70</v>
      </c>
      <c r="C52" s="3" t="s">
        <v>77</v>
      </c>
      <c r="D52" s="6">
        <v>1652.9318</v>
      </c>
      <c r="E52" s="6">
        <v>0</v>
      </c>
      <c r="F52" s="6">
        <v>0</v>
      </c>
      <c r="G52" s="6">
        <v>48456.8</v>
      </c>
      <c r="H52" s="6">
        <v>773322.5625</v>
      </c>
      <c r="I52" s="6">
        <v>8886.3555</v>
      </c>
      <c r="J52" s="6">
        <v>83822.835</v>
      </c>
      <c r="K52" s="6">
        <v>235365.5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7">
        <f t="shared" si="1"/>
        <v>1151506.9848</v>
      </c>
    </row>
    <row r="53" spans="1:18">
      <c r="A53" s="3" t="s">
        <v>24</v>
      </c>
      <c r="B53" s="3" t="s">
        <v>70</v>
      </c>
      <c r="C53" s="3" t="s">
        <v>78</v>
      </c>
      <c r="D53" s="6">
        <v>1130.3474</v>
      </c>
      <c r="E53" s="6">
        <v>0</v>
      </c>
      <c r="F53" s="6">
        <v>0</v>
      </c>
      <c r="G53" s="6">
        <v>0</v>
      </c>
      <c r="H53" s="6">
        <v>459085</v>
      </c>
      <c r="I53" s="6">
        <v>81.2355</v>
      </c>
      <c r="J53" s="6">
        <v>56177.765</v>
      </c>
      <c r="K53" s="6">
        <v>114619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7">
        <f t="shared" si="1"/>
        <v>631093.3479</v>
      </c>
    </row>
    <row r="54" spans="1:18">
      <c r="A54" s="3" t="s">
        <v>24</v>
      </c>
      <c r="B54" s="3" t="s">
        <v>70</v>
      </c>
      <c r="C54" s="3" t="s">
        <v>79</v>
      </c>
      <c r="D54" s="6">
        <v>12.8603</v>
      </c>
      <c r="E54" s="6">
        <v>0</v>
      </c>
      <c r="F54" s="6">
        <v>0</v>
      </c>
      <c r="G54" s="6">
        <v>0</v>
      </c>
      <c r="H54" s="6">
        <v>15825.6625</v>
      </c>
      <c r="I54" s="6">
        <v>1772.0805</v>
      </c>
      <c r="J54" s="6">
        <v>537.0155</v>
      </c>
      <c r="K54" s="6">
        <v>1528.5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7">
        <f t="shared" si="1"/>
        <v>19676.1188</v>
      </c>
    </row>
    <row r="55" spans="1:18">
      <c r="A55" s="3" t="s">
        <v>24</v>
      </c>
      <c r="B55" s="3" t="s">
        <v>70</v>
      </c>
      <c r="C55" s="3" t="s">
        <v>80</v>
      </c>
      <c r="D55" s="6">
        <v>22.8809</v>
      </c>
      <c r="E55" s="6">
        <v>0</v>
      </c>
      <c r="F55" s="6">
        <v>0</v>
      </c>
      <c r="G55" s="6">
        <v>0</v>
      </c>
      <c r="H55" s="6">
        <v>52018.08</v>
      </c>
      <c r="I55" s="6">
        <v>1470.294</v>
      </c>
      <c r="J55" s="6">
        <v>875.97</v>
      </c>
      <c r="K55" s="6">
        <v>3526.5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7">
        <f t="shared" si="1"/>
        <v>57913.7249</v>
      </c>
    </row>
    <row r="56" spans="1:18">
      <c r="A56" s="3" t="s">
        <v>24</v>
      </c>
      <c r="B56" s="3" t="s">
        <v>70</v>
      </c>
      <c r="C56" s="3" t="s">
        <v>81</v>
      </c>
      <c r="D56" s="6">
        <v>0</v>
      </c>
      <c r="E56" s="6">
        <v>0</v>
      </c>
      <c r="F56" s="6">
        <v>0</v>
      </c>
      <c r="G56" s="6">
        <v>0</v>
      </c>
      <c r="H56" s="6">
        <v>4711.84</v>
      </c>
      <c r="I56" s="6">
        <v>159.78</v>
      </c>
      <c r="J56" s="6">
        <v>293.69</v>
      </c>
      <c r="K56" s="6">
        <v>364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7">
        <f t="shared" si="1"/>
        <v>5529.31</v>
      </c>
    </row>
    <row r="57" spans="1:18">
      <c r="A57" s="3" t="s">
        <v>24</v>
      </c>
      <c r="B57" s="3" t="s">
        <v>70</v>
      </c>
      <c r="C57" s="3" t="s">
        <v>82</v>
      </c>
      <c r="D57" s="6">
        <v>13.4724</v>
      </c>
      <c r="E57" s="6">
        <v>0</v>
      </c>
      <c r="F57" s="6">
        <v>0</v>
      </c>
      <c r="G57" s="6">
        <v>0</v>
      </c>
      <c r="H57" s="6">
        <v>29070</v>
      </c>
      <c r="I57" s="6">
        <v>600.552</v>
      </c>
      <c r="J57" s="6">
        <v>1555.11</v>
      </c>
      <c r="K57" s="6">
        <v>8522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7">
        <f t="shared" si="1"/>
        <v>39761.1344</v>
      </c>
    </row>
    <row r="58" spans="1:18">
      <c r="A58" s="3" t="s">
        <v>24</v>
      </c>
      <c r="B58" s="3" t="s">
        <v>70</v>
      </c>
      <c r="C58" s="3" t="s">
        <v>83</v>
      </c>
      <c r="D58" s="6">
        <v>61.1724</v>
      </c>
      <c r="E58" s="6">
        <v>0</v>
      </c>
      <c r="F58" s="6">
        <v>0</v>
      </c>
      <c r="G58" s="6">
        <v>0</v>
      </c>
      <c r="H58" s="6">
        <v>76565.435</v>
      </c>
      <c r="I58" s="6">
        <v>31.5255</v>
      </c>
      <c r="J58" s="6">
        <v>4196.9415</v>
      </c>
      <c r="K58" s="6">
        <v>6881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7">
        <f t="shared" si="1"/>
        <v>87736.0744</v>
      </c>
    </row>
    <row r="59" spans="1:18">
      <c r="A59" s="3" t="s">
        <v>24</v>
      </c>
      <c r="B59" s="3" t="s">
        <v>70</v>
      </c>
      <c r="C59" s="3" t="s">
        <v>84</v>
      </c>
      <c r="D59" s="6">
        <v>2833.4994</v>
      </c>
      <c r="E59" s="6">
        <v>0</v>
      </c>
      <c r="F59" s="6">
        <v>0</v>
      </c>
      <c r="G59" s="6">
        <v>0</v>
      </c>
      <c r="H59" s="6">
        <v>3149073.444</v>
      </c>
      <c r="I59" s="6">
        <v>430.98</v>
      </c>
      <c r="J59" s="6">
        <v>0</v>
      </c>
      <c r="K59" s="6">
        <v>386131.5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7">
        <f t="shared" si="1"/>
        <v>3538469.4234</v>
      </c>
    </row>
    <row r="60" spans="1:18">
      <c r="A60" s="3" t="s">
        <v>24</v>
      </c>
      <c r="B60" s="3" t="s">
        <v>70</v>
      </c>
      <c r="C60" s="3" t="s">
        <v>85</v>
      </c>
      <c r="D60" s="6">
        <v>2055.0089</v>
      </c>
      <c r="E60" s="6">
        <v>0</v>
      </c>
      <c r="F60" s="6">
        <v>0</v>
      </c>
      <c r="G60" s="6">
        <v>38780.4</v>
      </c>
      <c r="H60" s="6">
        <v>307323.84</v>
      </c>
      <c r="I60" s="6">
        <v>3285.9825</v>
      </c>
      <c r="J60" s="6">
        <v>79796.08</v>
      </c>
      <c r="K60" s="6">
        <v>222347.5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7">
        <f t="shared" si="1"/>
        <v>653588.8114</v>
      </c>
    </row>
    <row r="61" spans="1:18">
      <c r="A61" s="3" t="s">
        <v>24</v>
      </c>
      <c r="B61" s="3" t="s">
        <v>70</v>
      </c>
      <c r="C61" s="3" t="s">
        <v>86</v>
      </c>
      <c r="D61" s="6">
        <v>6.6964</v>
      </c>
      <c r="E61" s="6">
        <v>0</v>
      </c>
      <c r="F61" s="6">
        <v>0</v>
      </c>
      <c r="G61" s="6">
        <v>0</v>
      </c>
      <c r="H61" s="6">
        <v>21775.368</v>
      </c>
      <c r="I61" s="6">
        <v>252.612</v>
      </c>
      <c r="J61" s="6">
        <v>404.1076</v>
      </c>
      <c r="K61" s="6">
        <v>2666.5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7">
        <f t="shared" si="1"/>
        <v>25105.284</v>
      </c>
    </row>
    <row r="62" spans="1:18">
      <c r="A62" s="3" t="s">
        <v>24</v>
      </c>
      <c r="B62" s="3" t="s">
        <v>70</v>
      </c>
      <c r="C62" s="3" t="s">
        <v>87</v>
      </c>
      <c r="D62" s="6">
        <v>75.3407</v>
      </c>
      <c r="E62" s="6">
        <v>0</v>
      </c>
      <c r="F62" s="6">
        <v>0</v>
      </c>
      <c r="G62" s="6">
        <v>0</v>
      </c>
      <c r="H62" s="6">
        <v>0</v>
      </c>
      <c r="I62" s="6">
        <v>6593.5635</v>
      </c>
      <c r="J62" s="6">
        <v>2677.23</v>
      </c>
      <c r="K62" s="6">
        <v>4143.5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7">
        <f t="shared" si="1"/>
        <v>13489.6342</v>
      </c>
    </row>
    <row r="63" spans="1:18">
      <c r="A63" s="3" t="s">
        <v>24</v>
      </c>
      <c r="B63" s="3" t="s">
        <v>70</v>
      </c>
      <c r="C63" s="3" t="s">
        <v>88</v>
      </c>
      <c r="D63" s="6">
        <v>1073.0922</v>
      </c>
      <c r="E63" s="6">
        <v>0</v>
      </c>
      <c r="F63" s="6">
        <v>0</v>
      </c>
      <c r="G63" s="6">
        <v>0</v>
      </c>
      <c r="H63" s="6">
        <v>239379.1834</v>
      </c>
      <c r="I63" s="6">
        <v>713.385</v>
      </c>
      <c r="J63" s="6">
        <v>42117.439</v>
      </c>
      <c r="K63" s="6">
        <v>100386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7">
        <f t="shared" si="1"/>
        <v>383669.0996</v>
      </c>
    </row>
    <row r="64" spans="1:18">
      <c r="A64" s="3" t="s">
        <v>24</v>
      </c>
      <c r="B64" s="3" t="s">
        <v>70</v>
      </c>
      <c r="C64" s="3" t="s">
        <v>89</v>
      </c>
      <c r="D64" s="6">
        <v>51.4256</v>
      </c>
      <c r="E64" s="6">
        <v>0</v>
      </c>
      <c r="F64" s="6">
        <v>0</v>
      </c>
      <c r="G64" s="6">
        <v>0</v>
      </c>
      <c r="H64" s="6">
        <v>60271.2</v>
      </c>
      <c r="I64" s="6">
        <v>1031.409</v>
      </c>
      <c r="J64" s="6">
        <v>1409.354</v>
      </c>
      <c r="K64" s="6">
        <v>8203.5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7">
        <f t="shared" si="1"/>
        <v>70966.8886</v>
      </c>
    </row>
    <row r="65" spans="1:18">
      <c r="A65" s="3" t="s">
        <v>24</v>
      </c>
      <c r="B65" s="3" t="s">
        <v>70</v>
      </c>
      <c r="C65" s="3" t="s">
        <v>90</v>
      </c>
      <c r="D65" s="6">
        <v>126.5648</v>
      </c>
      <c r="E65" s="6">
        <v>0</v>
      </c>
      <c r="F65" s="6">
        <v>0</v>
      </c>
      <c r="G65" s="6">
        <v>0</v>
      </c>
      <c r="H65" s="6">
        <v>158316.498</v>
      </c>
      <c r="I65" s="6">
        <v>2627.058</v>
      </c>
      <c r="J65" s="6">
        <v>3596.9205</v>
      </c>
      <c r="K65" s="6">
        <v>24389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7">
        <f t="shared" si="1"/>
        <v>189056.0413</v>
      </c>
    </row>
    <row r="66" spans="1:18">
      <c r="A66" s="3" t="s">
        <v>24</v>
      </c>
      <c r="B66" s="3" t="s">
        <v>70</v>
      </c>
      <c r="C66" s="3" t="s">
        <v>91</v>
      </c>
      <c r="D66" s="6">
        <v>147.0538</v>
      </c>
      <c r="E66" s="6">
        <v>0</v>
      </c>
      <c r="F66" s="6">
        <v>0</v>
      </c>
      <c r="G66" s="6">
        <v>0</v>
      </c>
      <c r="H66" s="6">
        <v>123434.52</v>
      </c>
      <c r="I66" s="6">
        <v>327.255</v>
      </c>
      <c r="J66" s="6">
        <v>5098.06</v>
      </c>
      <c r="K66" s="6">
        <v>14955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7">
        <f t="shared" si="1"/>
        <v>143961.8888</v>
      </c>
    </row>
    <row r="67" spans="1:18">
      <c r="A67" s="3" t="s">
        <v>24</v>
      </c>
      <c r="B67" s="3" t="s">
        <v>70</v>
      </c>
      <c r="C67" s="3" t="s">
        <v>92</v>
      </c>
      <c r="D67" s="6">
        <v>525.5587</v>
      </c>
      <c r="E67" s="6">
        <v>0</v>
      </c>
      <c r="F67" s="6">
        <v>0</v>
      </c>
      <c r="G67" s="6">
        <v>0</v>
      </c>
      <c r="H67" s="6">
        <v>382891.7544</v>
      </c>
      <c r="I67" s="6">
        <v>506.7585</v>
      </c>
      <c r="J67" s="6">
        <v>0</v>
      </c>
      <c r="K67" s="6">
        <v>133906.5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7">
        <f t="shared" si="1"/>
        <v>517830.5716</v>
      </c>
    </row>
    <row r="68" spans="1:18">
      <c r="A68" s="3" t="s">
        <v>24</v>
      </c>
      <c r="B68" s="3" t="s">
        <v>70</v>
      </c>
      <c r="C68" s="3" t="s">
        <v>93</v>
      </c>
      <c r="D68" s="6">
        <v>523.071</v>
      </c>
      <c r="E68" s="6">
        <v>0</v>
      </c>
      <c r="F68" s="6">
        <v>0</v>
      </c>
      <c r="G68" s="6">
        <v>43996.8</v>
      </c>
      <c r="H68" s="6">
        <v>371049.707</v>
      </c>
      <c r="I68" s="6">
        <v>3705.8415</v>
      </c>
      <c r="J68" s="6">
        <v>17016.0894</v>
      </c>
      <c r="K68" s="6">
        <v>529836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7">
        <f t="shared" si="1"/>
        <v>966127.5089</v>
      </c>
    </row>
    <row r="69" spans="1:18">
      <c r="A69" s="3" t="s">
        <v>24</v>
      </c>
      <c r="B69" s="3" t="s">
        <v>94</v>
      </c>
      <c r="C69" s="3" t="s">
        <v>95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260.211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7">
        <f t="shared" si="1"/>
        <v>260.211</v>
      </c>
    </row>
    <row r="70" spans="1:18">
      <c r="A70" s="3" t="s">
        <v>24</v>
      </c>
      <c r="B70" s="3" t="s">
        <v>94</v>
      </c>
      <c r="C70" s="3" t="s">
        <v>96</v>
      </c>
      <c r="D70" s="6">
        <v>12.516</v>
      </c>
      <c r="E70" s="6">
        <v>0</v>
      </c>
      <c r="F70" s="6">
        <v>0</v>
      </c>
      <c r="G70" s="6">
        <v>808</v>
      </c>
      <c r="H70" s="6">
        <v>0</v>
      </c>
      <c r="I70" s="6">
        <v>0</v>
      </c>
      <c r="J70" s="6">
        <v>4042.0895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7">
        <f t="shared" si="1"/>
        <v>4862.6055</v>
      </c>
    </row>
    <row r="71" spans="1:18">
      <c r="A71" s="3" t="s">
        <v>24</v>
      </c>
      <c r="B71" s="3" t="s">
        <v>94</v>
      </c>
      <c r="C71" s="3" t="s">
        <v>97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34600.0725</v>
      </c>
      <c r="J71" s="6">
        <v>12672.41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7">
        <f t="shared" ref="R71:R102" si="2">SUM(D71:Q71)</f>
        <v>47272.4825</v>
      </c>
    </row>
    <row r="72" spans="1:18">
      <c r="A72" s="3" t="s">
        <v>24</v>
      </c>
      <c r="B72" s="3" t="s">
        <v>94</v>
      </c>
      <c r="C72" s="3" t="s">
        <v>98</v>
      </c>
      <c r="D72" s="6">
        <v>1.7028</v>
      </c>
      <c r="E72" s="6">
        <v>75.4992</v>
      </c>
      <c r="F72" s="6">
        <v>0</v>
      </c>
      <c r="G72" s="6">
        <v>0</v>
      </c>
      <c r="H72" s="6">
        <v>0</v>
      </c>
      <c r="I72" s="6">
        <v>2576.64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7">
        <f t="shared" si="2"/>
        <v>2653.842</v>
      </c>
    </row>
    <row r="73" spans="1:18">
      <c r="A73" s="3" t="s">
        <v>24</v>
      </c>
      <c r="B73" s="3" t="s">
        <v>94</v>
      </c>
      <c r="C73" s="3" t="s">
        <v>99</v>
      </c>
      <c r="D73" s="6">
        <v>10.9088</v>
      </c>
      <c r="E73" s="6">
        <v>3150.2459</v>
      </c>
      <c r="F73" s="6">
        <v>0</v>
      </c>
      <c r="G73" s="6">
        <v>0</v>
      </c>
      <c r="H73" s="6">
        <v>0</v>
      </c>
      <c r="I73" s="6">
        <v>10.3305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7">
        <f t="shared" si="2"/>
        <v>3171.4852</v>
      </c>
    </row>
    <row r="74" spans="1:18">
      <c r="A74" s="3" t="s">
        <v>24</v>
      </c>
      <c r="B74" s="3" t="s">
        <v>94</v>
      </c>
      <c r="C74" s="3" t="s">
        <v>100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326.496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7">
        <f t="shared" si="2"/>
        <v>326.496</v>
      </c>
    </row>
    <row r="75" spans="1:18">
      <c r="A75" s="3" t="s">
        <v>24</v>
      </c>
      <c r="B75" s="3" t="s">
        <v>94</v>
      </c>
      <c r="C75" s="3" t="s">
        <v>101</v>
      </c>
      <c r="D75" s="6">
        <v>6.6133</v>
      </c>
      <c r="E75" s="6">
        <v>434.592</v>
      </c>
      <c r="F75" s="6">
        <v>0</v>
      </c>
      <c r="G75" s="6">
        <v>0</v>
      </c>
      <c r="H75" s="6">
        <v>0</v>
      </c>
      <c r="I75" s="6">
        <v>420.189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7">
        <f t="shared" si="2"/>
        <v>861.3943</v>
      </c>
    </row>
    <row r="76" spans="1:18">
      <c r="A76" s="3" t="s">
        <v>24</v>
      </c>
      <c r="B76" s="3" t="s">
        <v>94</v>
      </c>
      <c r="C76" s="3" t="s">
        <v>102</v>
      </c>
      <c r="D76" s="6">
        <v>18.4194</v>
      </c>
      <c r="E76" s="6">
        <v>0</v>
      </c>
      <c r="F76" s="6">
        <v>0</v>
      </c>
      <c r="G76" s="6">
        <v>0</v>
      </c>
      <c r="H76" s="6">
        <v>0</v>
      </c>
      <c r="I76" s="6">
        <v>279.72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7">
        <f t="shared" si="2"/>
        <v>298.1394</v>
      </c>
    </row>
    <row r="77" spans="1:18">
      <c r="A77" s="3" t="s">
        <v>24</v>
      </c>
      <c r="B77" s="3" t="s">
        <v>94</v>
      </c>
      <c r="C77" s="3" t="s">
        <v>103</v>
      </c>
      <c r="D77" s="6">
        <v>9.7526</v>
      </c>
      <c r="E77" s="6">
        <v>0</v>
      </c>
      <c r="F77" s="6">
        <v>0</v>
      </c>
      <c r="G77" s="6">
        <v>0</v>
      </c>
      <c r="H77" s="6">
        <v>0</v>
      </c>
      <c r="I77" s="6">
        <v>21055.359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7">
        <f t="shared" si="2"/>
        <v>21065.1116</v>
      </c>
    </row>
    <row r="78" spans="1:18">
      <c r="A78" s="3" t="s">
        <v>24</v>
      </c>
      <c r="B78" s="3" t="s">
        <v>94</v>
      </c>
      <c r="C78" s="3" t="s">
        <v>104</v>
      </c>
      <c r="D78" s="6">
        <v>14.5436</v>
      </c>
      <c r="E78" s="6">
        <v>3348.324</v>
      </c>
      <c r="F78" s="6">
        <v>0</v>
      </c>
      <c r="G78" s="6">
        <v>523.2</v>
      </c>
      <c r="H78" s="6">
        <v>0</v>
      </c>
      <c r="I78" s="6">
        <v>0.4005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7">
        <f t="shared" si="2"/>
        <v>3886.4681</v>
      </c>
    </row>
    <row r="79" spans="1:18">
      <c r="A79" s="3" t="s">
        <v>24</v>
      </c>
      <c r="B79" s="3" t="s">
        <v>94</v>
      </c>
      <c r="C79" s="3" t="s">
        <v>105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3273.561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7">
        <f t="shared" si="2"/>
        <v>3273.561</v>
      </c>
    </row>
    <row r="80" spans="1:18">
      <c r="A80" s="3" t="s">
        <v>24</v>
      </c>
      <c r="B80" s="3" t="s">
        <v>94</v>
      </c>
      <c r="C80" s="3" t="s">
        <v>106</v>
      </c>
      <c r="D80" s="6">
        <v>3.7258</v>
      </c>
      <c r="E80" s="6">
        <v>0</v>
      </c>
      <c r="F80" s="6">
        <v>0</v>
      </c>
      <c r="G80" s="6">
        <v>0</v>
      </c>
      <c r="H80" s="6">
        <v>0</v>
      </c>
      <c r="I80" s="6">
        <v>76.587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7">
        <f t="shared" si="2"/>
        <v>80.3128</v>
      </c>
    </row>
    <row r="81" spans="1:18">
      <c r="A81" s="3" t="s">
        <v>24</v>
      </c>
      <c r="B81" s="3" t="s">
        <v>94</v>
      </c>
      <c r="C81" s="3" t="s">
        <v>107</v>
      </c>
      <c r="D81" s="6">
        <v>21.6634</v>
      </c>
      <c r="E81" s="6">
        <v>0</v>
      </c>
      <c r="F81" s="6">
        <v>0</v>
      </c>
      <c r="G81" s="6">
        <v>0</v>
      </c>
      <c r="H81" s="6">
        <v>0</v>
      </c>
      <c r="I81" s="6">
        <v>19.998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7">
        <f t="shared" si="2"/>
        <v>41.6614</v>
      </c>
    </row>
    <row r="82" spans="1:18">
      <c r="A82" s="3" t="s">
        <v>24</v>
      </c>
      <c r="B82" s="3" t="s">
        <v>94</v>
      </c>
      <c r="C82" s="3" t="s">
        <v>108</v>
      </c>
      <c r="D82" s="6">
        <v>19.9786</v>
      </c>
      <c r="E82" s="6">
        <v>55.7928</v>
      </c>
      <c r="F82" s="6">
        <v>0</v>
      </c>
      <c r="G82" s="6">
        <v>0</v>
      </c>
      <c r="H82" s="6">
        <v>0</v>
      </c>
      <c r="I82" s="6">
        <v>72019.443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7">
        <f t="shared" si="2"/>
        <v>72095.2144</v>
      </c>
    </row>
    <row r="83" spans="1:18">
      <c r="A83" s="3" t="s">
        <v>24</v>
      </c>
      <c r="B83" s="3" t="s">
        <v>94</v>
      </c>
      <c r="C83" s="3" t="s">
        <v>109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13813.443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7">
        <f t="shared" si="2"/>
        <v>13813.443</v>
      </c>
    </row>
    <row r="84" spans="1:18">
      <c r="A84" s="3" t="s">
        <v>24</v>
      </c>
      <c r="B84" s="3" t="s">
        <v>94</v>
      </c>
      <c r="C84" s="3" t="s">
        <v>110</v>
      </c>
      <c r="D84" s="6">
        <v>29.9608</v>
      </c>
      <c r="E84" s="6">
        <v>7.2576</v>
      </c>
      <c r="F84" s="6">
        <v>0</v>
      </c>
      <c r="G84" s="6">
        <v>0</v>
      </c>
      <c r="H84" s="6">
        <v>0</v>
      </c>
      <c r="I84" s="6">
        <v>735.1035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7">
        <f t="shared" si="2"/>
        <v>772.3219</v>
      </c>
    </row>
    <row r="85" spans="1:18">
      <c r="A85" s="3" t="s">
        <v>24</v>
      </c>
      <c r="B85" s="3" t="s">
        <v>94</v>
      </c>
      <c r="C85" s="3" t="s">
        <v>111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61.08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7">
        <f t="shared" si="2"/>
        <v>61.08</v>
      </c>
    </row>
    <row r="86" spans="1:18">
      <c r="A86" s="3" t="s">
        <v>24</v>
      </c>
      <c r="B86" s="3" t="s">
        <v>94</v>
      </c>
      <c r="C86" s="3" t="s">
        <v>112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110.9175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7">
        <f t="shared" si="2"/>
        <v>110.9175</v>
      </c>
    </row>
    <row r="87" spans="1:18">
      <c r="A87" s="3" t="s">
        <v>24</v>
      </c>
      <c r="B87" s="3" t="s">
        <v>94</v>
      </c>
      <c r="C87" s="3" t="s">
        <v>113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13.455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7">
        <f t="shared" si="2"/>
        <v>13.455</v>
      </c>
    </row>
    <row r="88" spans="1:18">
      <c r="A88" s="3" t="s">
        <v>24</v>
      </c>
      <c r="B88" s="3" t="s">
        <v>94</v>
      </c>
      <c r="C88" s="3" t="s">
        <v>114</v>
      </c>
      <c r="D88" s="6">
        <v>6.3138</v>
      </c>
      <c r="E88" s="6">
        <v>0</v>
      </c>
      <c r="F88" s="6">
        <v>0</v>
      </c>
      <c r="G88" s="6">
        <v>0</v>
      </c>
      <c r="H88" s="6">
        <v>0</v>
      </c>
      <c r="I88" s="6">
        <v>540.6225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7">
        <f t="shared" si="2"/>
        <v>546.9363</v>
      </c>
    </row>
    <row r="89" spans="1:18">
      <c r="A89" s="3" t="s">
        <v>24</v>
      </c>
      <c r="B89" s="3" t="s">
        <v>94</v>
      </c>
      <c r="C89" s="3" t="s">
        <v>115</v>
      </c>
      <c r="D89" s="6">
        <v>17.1598</v>
      </c>
      <c r="E89" s="6">
        <v>0</v>
      </c>
      <c r="F89" s="6">
        <v>0</v>
      </c>
      <c r="G89" s="6">
        <v>0</v>
      </c>
      <c r="H89" s="6">
        <v>0</v>
      </c>
      <c r="I89" s="6">
        <v>628.386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7">
        <f t="shared" si="2"/>
        <v>645.5458</v>
      </c>
    </row>
    <row r="90" spans="1:18">
      <c r="A90" s="3" t="s">
        <v>24</v>
      </c>
      <c r="B90" s="3" t="s">
        <v>94</v>
      </c>
      <c r="C90" s="3" t="s">
        <v>116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637.7955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7">
        <f t="shared" si="2"/>
        <v>637.7955</v>
      </c>
    </row>
    <row r="91" spans="1:18">
      <c r="A91" s="3" t="s">
        <v>24</v>
      </c>
      <c r="B91" s="3" t="s">
        <v>94</v>
      </c>
      <c r="C91" s="3" t="s">
        <v>117</v>
      </c>
      <c r="D91" s="6">
        <v>0</v>
      </c>
      <c r="E91" s="6">
        <v>1.2528</v>
      </c>
      <c r="F91" s="6">
        <v>0</v>
      </c>
      <c r="G91" s="6">
        <v>0</v>
      </c>
      <c r="H91" s="6">
        <v>0</v>
      </c>
      <c r="I91" s="6">
        <v>329.664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7">
        <f t="shared" si="2"/>
        <v>330.9168</v>
      </c>
    </row>
    <row r="92" spans="1:18">
      <c r="A92" s="3" t="s">
        <v>24</v>
      </c>
      <c r="B92" s="3" t="s">
        <v>94</v>
      </c>
      <c r="C92" s="3" t="s">
        <v>118</v>
      </c>
      <c r="D92" s="6">
        <v>6.9559</v>
      </c>
      <c r="E92" s="6">
        <v>0</v>
      </c>
      <c r="F92" s="6">
        <v>0</v>
      </c>
      <c r="G92" s="6">
        <v>0</v>
      </c>
      <c r="H92" s="6">
        <v>0</v>
      </c>
      <c r="I92" s="6">
        <v>9.981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7">
        <f t="shared" si="2"/>
        <v>16.9369</v>
      </c>
    </row>
    <row r="93" spans="1:18">
      <c r="A93" s="3" t="s">
        <v>24</v>
      </c>
      <c r="B93" s="3" t="s">
        <v>94</v>
      </c>
      <c r="C93" s="3" t="s">
        <v>119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264.8625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7">
        <f t="shared" si="2"/>
        <v>264.8625</v>
      </c>
    </row>
    <row r="94" spans="1:18">
      <c r="A94" s="3" t="s">
        <v>24</v>
      </c>
      <c r="B94" s="3" t="s">
        <v>94</v>
      </c>
      <c r="C94" s="3" t="s">
        <v>120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547.7775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7">
        <f t="shared" si="2"/>
        <v>547.7775</v>
      </c>
    </row>
    <row r="95" spans="1:18">
      <c r="A95" s="3" t="s">
        <v>24</v>
      </c>
      <c r="B95" s="3" t="s">
        <v>94</v>
      </c>
      <c r="C95" s="3" t="s">
        <v>121</v>
      </c>
      <c r="D95" s="6">
        <v>36.0535</v>
      </c>
      <c r="E95" s="6">
        <v>139.2206</v>
      </c>
      <c r="F95" s="6">
        <v>0</v>
      </c>
      <c r="G95" s="6">
        <v>0</v>
      </c>
      <c r="H95" s="6">
        <v>0</v>
      </c>
      <c r="I95" s="6">
        <v>185069.1195</v>
      </c>
      <c r="J95" s="6">
        <v>29780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7">
        <f t="shared" si="2"/>
        <v>215024.3936</v>
      </c>
    </row>
    <row r="96" spans="1:18">
      <c r="A96" s="3" t="s">
        <v>24</v>
      </c>
      <c r="B96" s="3" t="s">
        <v>94</v>
      </c>
      <c r="C96" s="3" t="s">
        <v>122</v>
      </c>
      <c r="D96" s="6">
        <v>0</v>
      </c>
      <c r="E96" s="6">
        <v>0</v>
      </c>
      <c r="F96" s="6">
        <v>0</v>
      </c>
      <c r="G96" s="6">
        <v>0</v>
      </c>
      <c r="H96" s="6">
        <v>0</v>
      </c>
      <c r="I96" s="6">
        <v>254.088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7">
        <f t="shared" si="2"/>
        <v>254.088</v>
      </c>
    </row>
    <row r="97" spans="1:18">
      <c r="A97" s="3" t="s">
        <v>24</v>
      </c>
      <c r="B97" s="3" t="s">
        <v>94</v>
      </c>
      <c r="C97" s="3" t="s">
        <v>123</v>
      </c>
      <c r="D97" s="6">
        <v>9.6984</v>
      </c>
      <c r="E97" s="6">
        <v>75.6</v>
      </c>
      <c r="F97" s="6">
        <v>0</v>
      </c>
      <c r="G97" s="6">
        <v>0</v>
      </c>
      <c r="H97" s="6">
        <v>0</v>
      </c>
      <c r="I97" s="6">
        <v>4082.4495</v>
      </c>
      <c r="J97" s="6">
        <v>12053.9912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7">
        <f t="shared" si="2"/>
        <v>16221.7391</v>
      </c>
    </row>
    <row r="98" spans="1:18">
      <c r="A98" s="3" t="s">
        <v>24</v>
      </c>
      <c r="B98" s="3" t="s">
        <v>94</v>
      </c>
      <c r="C98" s="3" t="s">
        <v>124</v>
      </c>
      <c r="D98" s="6">
        <v>10.8715</v>
      </c>
      <c r="E98" s="6">
        <v>37.8022</v>
      </c>
      <c r="F98" s="6">
        <v>0</v>
      </c>
      <c r="G98" s="6">
        <v>0</v>
      </c>
      <c r="H98" s="6">
        <v>0</v>
      </c>
      <c r="I98" s="6">
        <v>37497.384</v>
      </c>
      <c r="J98" s="6">
        <v>15773.1333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7">
        <f t="shared" si="2"/>
        <v>53319.191</v>
      </c>
    </row>
    <row r="99" spans="1:18">
      <c r="A99" s="3" t="s">
        <v>24</v>
      </c>
      <c r="B99" s="3" t="s">
        <v>94</v>
      </c>
      <c r="C99" s="3" t="s">
        <v>125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7">
        <f t="shared" si="2"/>
        <v>0</v>
      </c>
    </row>
    <row r="100" spans="1:18">
      <c r="A100" s="3" t="s">
        <v>24</v>
      </c>
      <c r="B100" s="3" t="s">
        <v>94</v>
      </c>
      <c r="C100" s="3" t="s">
        <v>126</v>
      </c>
      <c r="D100" s="6">
        <v>4.2433</v>
      </c>
      <c r="E100" s="6">
        <v>0</v>
      </c>
      <c r="F100" s="6">
        <v>0</v>
      </c>
      <c r="G100" s="6">
        <v>0</v>
      </c>
      <c r="H100" s="6">
        <v>0</v>
      </c>
      <c r="I100" s="6">
        <v>68.211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7">
        <f t="shared" si="2"/>
        <v>72.4543</v>
      </c>
    </row>
    <row r="101" spans="1:18">
      <c r="A101" s="3" t="s">
        <v>24</v>
      </c>
      <c r="B101" s="3" t="s">
        <v>94</v>
      </c>
      <c r="C101" s="3" t="s">
        <v>127</v>
      </c>
      <c r="D101" s="6">
        <v>8.0446</v>
      </c>
      <c r="E101" s="6">
        <v>0</v>
      </c>
      <c r="F101" s="6">
        <v>0</v>
      </c>
      <c r="G101" s="6">
        <v>0</v>
      </c>
      <c r="H101" s="6">
        <v>0</v>
      </c>
      <c r="I101" s="6">
        <v>36640.044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7">
        <f t="shared" si="2"/>
        <v>36648.0886</v>
      </c>
    </row>
    <row r="102" spans="1:18">
      <c r="A102" s="3" t="s">
        <v>24</v>
      </c>
      <c r="B102" s="3" t="s">
        <v>94</v>
      </c>
      <c r="C102" s="3" t="s">
        <v>128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232.068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7">
        <f t="shared" si="2"/>
        <v>232.068</v>
      </c>
    </row>
    <row r="103" spans="1:18">
      <c r="A103" s="3" t="s">
        <v>24</v>
      </c>
      <c r="B103" s="3" t="s">
        <v>94</v>
      </c>
      <c r="C103" s="3" t="s">
        <v>129</v>
      </c>
      <c r="D103" s="6">
        <v>7.9217</v>
      </c>
      <c r="E103" s="6">
        <v>0</v>
      </c>
      <c r="F103" s="6">
        <v>0</v>
      </c>
      <c r="G103" s="6">
        <v>0</v>
      </c>
      <c r="H103" s="6">
        <v>0</v>
      </c>
      <c r="I103" s="6">
        <v>284.616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7">
        <f t="shared" ref="R103:R134" si="3">SUM(D103:Q103)</f>
        <v>292.5377</v>
      </c>
    </row>
    <row r="104" spans="1:18">
      <c r="A104" s="3" t="s">
        <v>24</v>
      </c>
      <c r="B104" s="3" t="s">
        <v>94</v>
      </c>
      <c r="C104" s="3" t="s">
        <v>130</v>
      </c>
      <c r="D104" s="6">
        <v>15.2341</v>
      </c>
      <c r="E104" s="6">
        <v>39.294</v>
      </c>
      <c r="F104" s="6">
        <v>0</v>
      </c>
      <c r="G104" s="6">
        <v>1258.4</v>
      </c>
      <c r="H104" s="6">
        <v>0</v>
      </c>
      <c r="I104" s="6">
        <v>109.3365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7">
        <f t="shared" si="3"/>
        <v>1422.2646</v>
      </c>
    </row>
    <row r="105" spans="1:18">
      <c r="A105" s="3" t="s">
        <v>24</v>
      </c>
      <c r="B105" s="3" t="s">
        <v>94</v>
      </c>
      <c r="C105" s="3" t="s">
        <v>131</v>
      </c>
      <c r="D105" s="6">
        <v>4.9904</v>
      </c>
      <c r="E105" s="6">
        <v>1.5754</v>
      </c>
      <c r="F105" s="6">
        <v>0</v>
      </c>
      <c r="G105" s="6">
        <v>0</v>
      </c>
      <c r="H105" s="6">
        <v>0</v>
      </c>
      <c r="I105" s="6">
        <v>57647.8185</v>
      </c>
      <c r="J105" s="6">
        <v>7201.7785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7">
        <f t="shared" si="3"/>
        <v>64856.1628</v>
      </c>
    </row>
    <row r="106" spans="1:18">
      <c r="A106" s="3" t="s">
        <v>24</v>
      </c>
      <c r="B106" s="3" t="s">
        <v>94</v>
      </c>
      <c r="C106" s="3" t="s">
        <v>132</v>
      </c>
      <c r="D106" s="6">
        <v>0</v>
      </c>
      <c r="E106" s="6">
        <v>0</v>
      </c>
      <c r="F106" s="6">
        <v>0</v>
      </c>
      <c r="G106" s="6">
        <v>0</v>
      </c>
      <c r="H106" s="6">
        <v>0</v>
      </c>
      <c r="I106" s="6">
        <v>2101.281</v>
      </c>
      <c r="J106" s="6">
        <v>4636.9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7">
        <f t="shared" si="3"/>
        <v>6738.181</v>
      </c>
    </row>
    <row r="107" spans="1:18">
      <c r="A107" s="3" t="s">
        <v>24</v>
      </c>
      <c r="B107" s="3" t="s">
        <v>94</v>
      </c>
      <c r="C107" s="3" t="s">
        <v>133</v>
      </c>
      <c r="D107" s="6">
        <v>3.7374</v>
      </c>
      <c r="E107" s="6">
        <v>742.2336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7">
        <f t="shared" si="3"/>
        <v>745.971</v>
      </c>
    </row>
    <row r="108" spans="1:18">
      <c r="A108" s="3" t="s">
        <v>24</v>
      </c>
      <c r="B108" s="3" t="s">
        <v>94</v>
      </c>
      <c r="C108" s="3" t="s">
        <v>134</v>
      </c>
      <c r="D108" s="6">
        <v>2.3084</v>
      </c>
      <c r="E108" s="6">
        <v>229.68</v>
      </c>
      <c r="F108" s="6">
        <v>0</v>
      </c>
      <c r="G108" s="6">
        <v>0</v>
      </c>
      <c r="H108" s="6">
        <v>0</v>
      </c>
      <c r="I108" s="6">
        <v>140.6535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7">
        <f t="shared" si="3"/>
        <v>372.6419</v>
      </c>
    </row>
    <row r="109" spans="1:18">
      <c r="A109" s="3" t="s">
        <v>24</v>
      </c>
      <c r="B109" s="3" t="s">
        <v>94</v>
      </c>
      <c r="C109" s="3" t="s">
        <v>135</v>
      </c>
      <c r="D109" s="6">
        <v>8.2432</v>
      </c>
      <c r="E109" s="6">
        <v>8.3765</v>
      </c>
      <c r="F109" s="6">
        <v>0</v>
      </c>
      <c r="G109" s="6">
        <v>0</v>
      </c>
      <c r="H109" s="6">
        <v>0</v>
      </c>
      <c r="I109" s="6">
        <v>357.393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7">
        <f t="shared" si="3"/>
        <v>374.0127</v>
      </c>
    </row>
    <row r="110" spans="1:18">
      <c r="A110" s="3" t="s">
        <v>24</v>
      </c>
      <c r="B110" s="3" t="s">
        <v>94</v>
      </c>
      <c r="C110" s="3" t="s">
        <v>136</v>
      </c>
      <c r="D110" s="6">
        <v>8.5781</v>
      </c>
      <c r="E110" s="6">
        <v>385.5398</v>
      </c>
      <c r="F110" s="6">
        <v>0</v>
      </c>
      <c r="G110" s="6">
        <v>0</v>
      </c>
      <c r="H110" s="6">
        <v>0</v>
      </c>
      <c r="I110" s="6">
        <v>35.7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7">
        <f t="shared" si="3"/>
        <v>429.8179</v>
      </c>
    </row>
    <row r="111" spans="1:18">
      <c r="A111" s="3" t="s">
        <v>24</v>
      </c>
      <c r="B111" s="3" t="s">
        <v>94</v>
      </c>
      <c r="C111" s="3" t="s">
        <v>137</v>
      </c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220.62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7">
        <f t="shared" si="3"/>
        <v>220.62</v>
      </c>
    </row>
    <row r="112" spans="1:18">
      <c r="A112" s="3" t="s">
        <v>24</v>
      </c>
      <c r="B112" s="3" t="s">
        <v>94</v>
      </c>
      <c r="C112" s="3" t="s">
        <v>138</v>
      </c>
      <c r="D112" s="6">
        <v>7.2653</v>
      </c>
      <c r="E112" s="6">
        <v>0</v>
      </c>
      <c r="F112" s="6">
        <v>0</v>
      </c>
      <c r="G112" s="6">
        <v>0</v>
      </c>
      <c r="H112" s="6">
        <v>0</v>
      </c>
      <c r="I112" s="6">
        <v>19020.285</v>
      </c>
      <c r="J112" s="6">
        <v>6741.2384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7">
        <f t="shared" si="3"/>
        <v>25768.7887</v>
      </c>
    </row>
    <row r="113" spans="1:18">
      <c r="A113" s="3" t="s">
        <v>24</v>
      </c>
      <c r="B113" s="3" t="s">
        <v>94</v>
      </c>
      <c r="C113" s="3" t="s">
        <v>139</v>
      </c>
      <c r="D113" s="6">
        <v>6.0152</v>
      </c>
      <c r="E113" s="6">
        <v>0</v>
      </c>
      <c r="F113" s="6">
        <v>0</v>
      </c>
      <c r="G113" s="6">
        <v>0</v>
      </c>
      <c r="H113" s="6">
        <v>0</v>
      </c>
      <c r="I113" s="6">
        <v>89.4615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7">
        <f t="shared" si="3"/>
        <v>95.4767</v>
      </c>
    </row>
    <row r="114" spans="1:18">
      <c r="A114" s="3" t="s">
        <v>24</v>
      </c>
      <c r="B114" s="3" t="s">
        <v>94</v>
      </c>
      <c r="C114" s="3" t="s">
        <v>140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2127.8415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7">
        <f t="shared" si="3"/>
        <v>2127.8415</v>
      </c>
    </row>
    <row r="115" spans="1:18">
      <c r="A115" s="3" t="s">
        <v>24</v>
      </c>
      <c r="B115" s="3" t="s">
        <v>94</v>
      </c>
      <c r="C115" s="3" t="s">
        <v>141</v>
      </c>
      <c r="D115" s="6">
        <v>0.7438</v>
      </c>
      <c r="E115" s="6">
        <v>0</v>
      </c>
      <c r="F115" s="6">
        <v>0</v>
      </c>
      <c r="G115" s="6">
        <v>0</v>
      </c>
      <c r="H115" s="6">
        <v>0</v>
      </c>
      <c r="I115" s="6">
        <v>32.526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7">
        <f t="shared" si="3"/>
        <v>33.2698</v>
      </c>
    </row>
    <row r="116" spans="1:18">
      <c r="A116" s="3" t="s">
        <v>24</v>
      </c>
      <c r="B116" s="3" t="s">
        <v>94</v>
      </c>
      <c r="C116" s="3" t="s">
        <v>142</v>
      </c>
      <c r="D116" s="6">
        <v>15.4693</v>
      </c>
      <c r="E116" s="6">
        <v>149.4</v>
      </c>
      <c r="F116" s="6">
        <v>0</v>
      </c>
      <c r="G116" s="6">
        <v>0</v>
      </c>
      <c r="H116" s="6">
        <v>0</v>
      </c>
      <c r="I116" s="6">
        <v>19407.5925</v>
      </c>
      <c r="J116" s="6">
        <v>9474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7">
        <f t="shared" si="3"/>
        <v>29046.4618</v>
      </c>
    </row>
    <row r="117" spans="1:18">
      <c r="A117" s="3" t="s">
        <v>24</v>
      </c>
      <c r="B117" s="3" t="s">
        <v>94</v>
      </c>
      <c r="C117" s="3" t="s">
        <v>143</v>
      </c>
      <c r="D117" s="6">
        <v>0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7">
        <f t="shared" si="3"/>
        <v>0</v>
      </c>
    </row>
    <row r="118" spans="1:18">
      <c r="A118" s="3" t="s">
        <v>24</v>
      </c>
      <c r="B118" s="3" t="s">
        <v>94</v>
      </c>
      <c r="C118" s="3" t="s">
        <v>144</v>
      </c>
      <c r="D118" s="6">
        <v>4.6531</v>
      </c>
      <c r="E118" s="6">
        <v>20.9131</v>
      </c>
      <c r="F118" s="6">
        <v>0</v>
      </c>
      <c r="G118" s="6">
        <v>0</v>
      </c>
      <c r="H118" s="6">
        <v>0</v>
      </c>
      <c r="I118" s="6">
        <v>1130.52</v>
      </c>
      <c r="J118" s="6">
        <v>17281.71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7">
        <f t="shared" si="3"/>
        <v>18437.7962</v>
      </c>
    </row>
    <row r="119" spans="1:18">
      <c r="A119" s="3" t="s">
        <v>24</v>
      </c>
      <c r="B119" s="3" t="s">
        <v>94</v>
      </c>
      <c r="C119" s="3" t="s">
        <v>145</v>
      </c>
      <c r="D119" s="6">
        <v>0</v>
      </c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7">
        <f t="shared" si="3"/>
        <v>0</v>
      </c>
    </row>
    <row r="120" spans="1:18">
      <c r="A120" s="3" t="s">
        <v>24</v>
      </c>
      <c r="B120" s="3" t="s">
        <v>94</v>
      </c>
      <c r="C120" s="3" t="s">
        <v>146</v>
      </c>
      <c r="D120" s="6">
        <v>11.7306</v>
      </c>
      <c r="E120" s="6">
        <v>156.492</v>
      </c>
      <c r="F120" s="6">
        <v>0</v>
      </c>
      <c r="G120" s="6">
        <v>0</v>
      </c>
      <c r="H120" s="6">
        <v>0</v>
      </c>
      <c r="I120" s="6">
        <v>0.4845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7">
        <f t="shared" si="3"/>
        <v>168.7071</v>
      </c>
    </row>
    <row r="121" spans="1:18">
      <c r="A121" s="3" t="s">
        <v>24</v>
      </c>
      <c r="B121" s="3" t="s">
        <v>94</v>
      </c>
      <c r="C121" s="3" t="s">
        <v>147</v>
      </c>
      <c r="D121" s="6">
        <v>0</v>
      </c>
      <c r="E121" s="6">
        <v>0</v>
      </c>
      <c r="F121" s="6">
        <v>0</v>
      </c>
      <c r="G121" s="6">
        <v>0</v>
      </c>
      <c r="H121" s="6">
        <v>0</v>
      </c>
      <c r="I121" s="6">
        <v>405.1935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7">
        <f t="shared" si="3"/>
        <v>405.1935</v>
      </c>
    </row>
    <row r="122" spans="1:18">
      <c r="A122" s="3" t="s">
        <v>24</v>
      </c>
      <c r="B122" s="3" t="s">
        <v>94</v>
      </c>
      <c r="C122" s="3" t="s">
        <v>148</v>
      </c>
      <c r="D122" s="6">
        <v>5.3028</v>
      </c>
      <c r="E122" s="6">
        <v>0</v>
      </c>
      <c r="F122" s="6">
        <v>0</v>
      </c>
      <c r="G122" s="6">
        <v>0</v>
      </c>
      <c r="H122" s="6">
        <v>0</v>
      </c>
      <c r="I122" s="6">
        <v>106.6455</v>
      </c>
      <c r="J122" s="6">
        <v>17440.2338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7">
        <f t="shared" si="3"/>
        <v>17552.1821</v>
      </c>
    </row>
    <row r="123" spans="1:18">
      <c r="A123" s="3" t="s">
        <v>24</v>
      </c>
      <c r="B123" s="3" t="s">
        <v>94</v>
      </c>
      <c r="C123" s="3" t="s">
        <v>149</v>
      </c>
      <c r="D123" s="6">
        <v>18.2096</v>
      </c>
      <c r="E123" s="6">
        <v>0</v>
      </c>
      <c r="F123" s="6">
        <v>0</v>
      </c>
      <c r="G123" s="6">
        <v>1354.8</v>
      </c>
      <c r="H123" s="6">
        <v>0</v>
      </c>
      <c r="I123" s="6">
        <v>52665.474</v>
      </c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7">
        <f t="shared" si="3"/>
        <v>54038.4836</v>
      </c>
    </row>
    <row r="124" spans="1:18">
      <c r="A124" s="3" t="s">
        <v>24</v>
      </c>
      <c r="B124" s="3" t="s">
        <v>94</v>
      </c>
      <c r="C124" s="3" t="s">
        <v>150</v>
      </c>
      <c r="D124" s="6">
        <v>50.6393</v>
      </c>
      <c r="E124" s="6">
        <v>588.0539</v>
      </c>
      <c r="F124" s="6">
        <v>0</v>
      </c>
      <c r="G124" s="6">
        <v>0</v>
      </c>
      <c r="H124" s="6">
        <v>0</v>
      </c>
      <c r="I124" s="6">
        <v>118652.346</v>
      </c>
      <c r="J124" s="6">
        <v>68449.5816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7">
        <f t="shared" si="3"/>
        <v>187740.6208</v>
      </c>
    </row>
    <row r="125" spans="1:18">
      <c r="A125" s="3" t="s">
        <v>24</v>
      </c>
      <c r="B125" s="3" t="s">
        <v>94</v>
      </c>
      <c r="C125" s="3" t="s">
        <v>151</v>
      </c>
      <c r="D125" s="6">
        <v>0</v>
      </c>
      <c r="E125" s="6">
        <v>0</v>
      </c>
      <c r="F125" s="6">
        <v>0</v>
      </c>
      <c r="G125" s="6">
        <v>0</v>
      </c>
      <c r="H125" s="6">
        <v>0</v>
      </c>
      <c r="I125" s="6">
        <v>32351.2155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7">
        <f t="shared" si="3"/>
        <v>32351.2155</v>
      </c>
    </row>
    <row r="126" spans="1:18">
      <c r="A126" s="3" t="s">
        <v>24</v>
      </c>
      <c r="B126" s="3" t="s">
        <v>94</v>
      </c>
      <c r="C126" s="3" t="s">
        <v>152</v>
      </c>
      <c r="D126" s="6">
        <v>7.1018</v>
      </c>
      <c r="E126" s="6">
        <v>30.888</v>
      </c>
      <c r="F126" s="6">
        <v>0</v>
      </c>
      <c r="G126" s="6">
        <v>0</v>
      </c>
      <c r="H126" s="6">
        <v>0</v>
      </c>
      <c r="I126" s="6">
        <v>103.7415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7">
        <f t="shared" si="3"/>
        <v>141.7313</v>
      </c>
    </row>
    <row r="127" spans="1:18">
      <c r="A127" s="3" t="s">
        <v>24</v>
      </c>
      <c r="B127" s="3" t="s">
        <v>94</v>
      </c>
      <c r="C127" s="3" t="s">
        <v>153</v>
      </c>
      <c r="D127" s="6">
        <v>5.2774</v>
      </c>
      <c r="E127" s="6">
        <v>4.608</v>
      </c>
      <c r="F127" s="6">
        <v>0</v>
      </c>
      <c r="G127" s="6">
        <v>0</v>
      </c>
      <c r="H127" s="6">
        <v>0</v>
      </c>
      <c r="I127" s="6">
        <v>21.9405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7">
        <f t="shared" si="3"/>
        <v>31.8259</v>
      </c>
    </row>
    <row r="128" spans="1:18">
      <c r="A128" s="3" t="s">
        <v>24</v>
      </c>
      <c r="B128" s="3" t="s">
        <v>94</v>
      </c>
      <c r="C128" s="3" t="s">
        <v>154</v>
      </c>
      <c r="D128" s="6">
        <v>0</v>
      </c>
      <c r="E128" s="6">
        <v>0</v>
      </c>
      <c r="F128" s="6">
        <v>0</v>
      </c>
      <c r="G128" s="6">
        <v>0</v>
      </c>
      <c r="H128" s="6">
        <v>0</v>
      </c>
      <c r="I128" s="6">
        <v>121.5375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7">
        <f t="shared" si="3"/>
        <v>121.5375</v>
      </c>
    </row>
    <row r="129" spans="1:18">
      <c r="A129" s="3" t="s">
        <v>24</v>
      </c>
      <c r="B129" s="3" t="s">
        <v>94</v>
      </c>
      <c r="C129" s="3" t="s">
        <v>155</v>
      </c>
      <c r="D129" s="6">
        <v>4.174</v>
      </c>
      <c r="E129" s="6">
        <v>0</v>
      </c>
      <c r="F129" s="6">
        <v>0</v>
      </c>
      <c r="G129" s="6">
        <v>0</v>
      </c>
      <c r="H129" s="6">
        <v>0</v>
      </c>
      <c r="I129" s="6">
        <v>267.972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7">
        <f t="shared" si="3"/>
        <v>272.146</v>
      </c>
    </row>
    <row r="130" spans="1:18">
      <c r="A130" s="3" t="s">
        <v>24</v>
      </c>
      <c r="B130" s="3" t="s">
        <v>94</v>
      </c>
      <c r="C130" s="3" t="s">
        <v>156</v>
      </c>
      <c r="D130" s="6">
        <v>0.6686</v>
      </c>
      <c r="E130" s="6">
        <v>0</v>
      </c>
      <c r="F130" s="6">
        <v>0</v>
      </c>
      <c r="G130" s="6">
        <v>0</v>
      </c>
      <c r="H130" s="6">
        <v>0</v>
      </c>
      <c r="I130" s="6">
        <v>12.72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7">
        <f t="shared" si="3"/>
        <v>13.3886</v>
      </c>
    </row>
    <row r="131" spans="1:18">
      <c r="A131" s="3" t="s">
        <v>24</v>
      </c>
      <c r="B131" s="3" t="s">
        <v>94</v>
      </c>
      <c r="C131" s="3" t="s">
        <v>157</v>
      </c>
      <c r="D131" s="6">
        <v>0.5591</v>
      </c>
      <c r="E131" s="6">
        <v>0</v>
      </c>
      <c r="F131" s="6">
        <v>0</v>
      </c>
      <c r="G131" s="6">
        <v>0</v>
      </c>
      <c r="H131" s="6">
        <v>0</v>
      </c>
      <c r="I131" s="6">
        <v>0.9525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7">
        <f t="shared" si="3"/>
        <v>1.5116</v>
      </c>
    </row>
    <row r="132" spans="1:18">
      <c r="A132" s="3" t="s">
        <v>24</v>
      </c>
      <c r="B132" s="3" t="s">
        <v>94</v>
      </c>
      <c r="C132" s="3" t="s">
        <v>158</v>
      </c>
      <c r="D132" s="6">
        <v>6.264</v>
      </c>
      <c r="E132" s="6">
        <v>130.32</v>
      </c>
      <c r="F132" s="6">
        <v>0</v>
      </c>
      <c r="G132" s="6">
        <v>0</v>
      </c>
      <c r="H132" s="6">
        <v>0</v>
      </c>
      <c r="I132" s="6">
        <v>8.9895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7">
        <f t="shared" si="3"/>
        <v>145.5735</v>
      </c>
    </row>
    <row r="133" spans="1:18">
      <c r="A133" s="3" t="s">
        <v>24</v>
      </c>
      <c r="B133" s="3" t="s">
        <v>94</v>
      </c>
      <c r="C133" s="3" t="s">
        <v>159</v>
      </c>
      <c r="D133" s="6">
        <v>11.2415</v>
      </c>
      <c r="E133" s="6">
        <v>61.56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7">
        <f t="shared" si="3"/>
        <v>72.8015</v>
      </c>
    </row>
    <row r="134" spans="1:18">
      <c r="A134" s="3" t="s">
        <v>24</v>
      </c>
      <c r="B134" s="3" t="s">
        <v>94</v>
      </c>
      <c r="C134" s="3" t="s">
        <v>160</v>
      </c>
      <c r="D134" s="6">
        <v>0</v>
      </c>
      <c r="E134" s="6">
        <v>32.868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7">
        <f t="shared" ref="R134:R170" si="4">SUM(D134:Q134)</f>
        <v>32.868</v>
      </c>
    </row>
    <row r="135" spans="1:18">
      <c r="A135" s="3" t="s">
        <v>24</v>
      </c>
      <c r="B135" s="3" t="s">
        <v>94</v>
      </c>
      <c r="C135" s="3" t="s">
        <v>161</v>
      </c>
      <c r="D135" s="6">
        <v>8.2932</v>
      </c>
      <c r="E135" s="6">
        <v>0</v>
      </c>
      <c r="F135" s="6">
        <v>0</v>
      </c>
      <c r="G135" s="6">
        <v>0</v>
      </c>
      <c r="H135" s="6">
        <v>0</v>
      </c>
      <c r="I135" s="6">
        <v>341.6115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7">
        <f t="shared" si="4"/>
        <v>349.9047</v>
      </c>
    </row>
    <row r="136" spans="1:18">
      <c r="A136" s="3" t="s">
        <v>24</v>
      </c>
      <c r="B136" s="3" t="s">
        <v>94</v>
      </c>
      <c r="C136" s="3" t="s">
        <v>162</v>
      </c>
      <c r="D136" s="6">
        <v>10.097</v>
      </c>
      <c r="E136" s="6">
        <v>0</v>
      </c>
      <c r="F136" s="6">
        <v>0</v>
      </c>
      <c r="G136" s="6">
        <v>0</v>
      </c>
      <c r="H136" s="6">
        <v>0</v>
      </c>
      <c r="I136" s="6">
        <v>14930.2815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7">
        <f t="shared" si="4"/>
        <v>14940.3785</v>
      </c>
    </row>
    <row r="137" spans="1:18">
      <c r="A137" s="3" t="s">
        <v>24</v>
      </c>
      <c r="B137" s="3" t="s">
        <v>94</v>
      </c>
      <c r="C137" s="3" t="s">
        <v>163</v>
      </c>
      <c r="D137" s="6">
        <v>0</v>
      </c>
      <c r="E137" s="6">
        <v>0</v>
      </c>
      <c r="F137" s="6">
        <v>0</v>
      </c>
      <c r="G137" s="6">
        <v>0</v>
      </c>
      <c r="H137" s="6">
        <v>0</v>
      </c>
      <c r="I137" s="6">
        <v>165.468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7">
        <f t="shared" si="4"/>
        <v>165.468</v>
      </c>
    </row>
    <row r="138" spans="1:18">
      <c r="A138" s="3" t="s">
        <v>24</v>
      </c>
      <c r="B138" s="3" t="s">
        <v>94</v>
      </c>
      <c r="C138" s="3" t="s">
        <v>164</v>
      </c>
      <c r="D138" s="6">
        <v>19.0415</v>
      </c>
      <c r="E138" s="6">
        <v>208.656</v>
      </c>
      <c r="F138" s="6">
        <v>0</v>
      </c>
      <c r="G138" s="6">
        <v>0</v>
      </c>
      <c r="H138" s="6">
        <v>0</v>
      </c>
      <c r="I138" s="6">
        <v>880.6305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7">
        <f t="shared" si="4"/>
        <v>1108.328</v>
      </c>
    </row>
    <row r="139" spans="1:18">
      <c r="A139" s="3" t="s">
        <v>24</v>
      </c>
      <c r="B139" s="3" t="s">
        <v>94</v>
      </c>
      <c r="C139" s="3" t="s">
        <v>165</v>
      </c>
      <c r="D139" s="6">
        <v>8.5174</v>
      </c>
      <c r="E139" s="6">
        <v>56.2043</v>
      </c>
      <c r="F139" s="6">
        <v>0</v>
      </c>
      <c r="G139" s="6">
        <v>0</v>
      </c>
      <c r="H139" s="6">
        <v>0</v>
      </c>
      <c r="I139" s="6">
        <v>2167.518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7">
        <f t="shared" si="4"/>
        <v>2232.2397</v>
      </c>
    </row>
    <row r="140" spans="1:18">
      <c r="A140" s="3" t="s">
        <v>24</v>
      </c>
      <c r="B140" s="3" t="s">
        <v>94</v>
      </c>
      <c r="C140" s="3" t="s">
        <v>166</v>
      </c>
      <c r="D140" s="6">
        <v>0</v>
      </c>
      <c r="E140" s="6">
        <v>0</v>
      </c>
      <c r="F140" s="6">
        <v>0</v>
      </c>
      <c r="G140" s="6">
        <v>0</v>
      </c>
      <c r="H140" s="6">
        <v>0</v>
      </c>
      <c r="I140" s="6">
        <v>1087.6365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7">
        <f t="shared" si="4"/>
        <v>1087.6365</v>
      </c>
    </row>
    <row r="141" spans="1:18">
      <c r="A141" s="3" t="s">
        <v>24</v>
      </c>
      <c r="B141" s="3" t="s">
        <v>94</v>
      </c>
      <c r="C141" s="3" t="s">
        <v>167</v>
      </c>
      <c r="D141" s="6">
        <v>0</v>
      </c>
      <c r="E141" s="6">
        <v>0</v>
      </c>
      <c r="F141" s="6">
        <v>0</v>
      </c>
      <c r="G141" s="6">
        <v>0</v>
      </c>
      <c r="H141" s="6">
        <v>0</v>
      </c>
      <c r="I141" s="6">
        <v>182.8665</v>
      </c>
      <c r="J141" s="6">
        <v>6942.085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7">
        <f t="shared" si="4"/>
        <v>7124.9515</v>
      </c>
    </row>
    <row r="142" spans="1:18">
      <c r="A142" s="3" t="s">
        <v>24</v>
      </c>
      <c r="B142" s="3" t="s">
        <v>94</v>
      </c>
      <c r="C142" s="3" t="s">
        <v>168</v>
      </c>
      <c r="D142" s="6">
        <v>0</v>
      </c>
      <c r="E142" s="6">
        <v>0</v>
      </c>
      <c r="F142" s="6">
        <v>0</v>
      </c>
      <c r="G142" s="6">
        <v>0</v>
      </c>
      <c r="H142" s="6">
        <v>0</v>
      </c>
      <c r="I142" s="6">
        <v>872.637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7">
        <f t="shared" si="4"/>
        <v>872.637</v>
      </c>
    </row>
    <row r="143" spans="1:18">
      <c r="A143" s="3" t="s">
        <v>24</v>
      </c>
      <c r="B143" s="3" t="s">
        <v>94</v>
      </c>
      <c r="C143" s="3" t="s">
        <v>169</v>
      </c>
      <c r="D143" s="6">
        <v>0</v>
      </c>
      <c r="E143" s="6">
        <v>0</v>
      </c>
      <c r="F143" s="6">
        <v>0</v>
      </c>
      <c r="G143" s="6">
        <v>0</v>
      </c>
      <c r="H143" s="6">
        <v>0</v>
      </c>
      <c r="I143" s="6">
        <v>210.72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7">
        <f t="shared" si="4"/>
        <v>210.72</v>
      </c>
    </row>
    <row r="144" spans="1:18">
      <c r="A144" s="3" t="s">
        <v>24</v>
      </c>
      <c r="B144" s="3" t="s">
        <v>94</v>
      </c>
      <c r="C144" s="3" t="s">
        <v>170</v>
      </c>
      <c r="D144" s="6">
        <v>1.3873</v>
      </c>
      <c r="E144" s="6">
        <v>0</v>
      </c>
      <c r="F144" s="6">
        <v>0</v>
      </c>
      <c r="G144" s="6">
        <v>0</v>
      </c>
      <c r="H144" s="6">
        <v>0</v>
      </c>
      <c r="I144" s="6">
        <v>636.834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7">
        <f t="shared" si="4"/>
        <v>638.2213</v>
      </c>
    </row>
    <row r="145" spans="1:18">
      <c r="A145" s="3" t="s">
        <v>24</v>
      </c>
      <c r="B145" s="3" t="s">
        <v>94</v>
      </c>
      <c r="C145" s="3" t="s">
        <v>171</v>
      </c>
      <c r="D145" s="6">
        <v>0</v>
      </c>
      <c r="E145" s="6">
        <v>0</v>
      </c>
      <c r="F145" s="6">
        <v>0</v>
      </c>
      <c r="G145" s="6">
        <v>0</v>
      </c>
      <c r="H145" s="6">
        <v>0</v>
      </c>
      <c r="I145" s="6">
        <v>165998.1585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7">
        <f t="shared" si="4"/>
        <v>165998.1585</v>
      </c>
    </row>
    <row r="146" spans="1:18">
      <c r="A146" s="3" t="s">
        <v>24</v>
      </c>
      <c r="B146" s="3" t="s">
        <v>94</v>
      </c>
      <c r="C146" s="3" t="s">
        <v>172</v>
      </c>
      <c r="D146" s="6">
        <v>25.3405</v>
      </c>
      <c r="E146" s="6">
        <v>46.0872</v>
      </c>
      <c r="F146" s="6">
        <v>0</v>
      </c>
      <c r="G146" s="6">
        <v>0</v>
      </c>
      <c r="H146" s="6">
        <v>0</v>
      </c>
      <c r="I146" s="6">
        <v>3443.721</v>
      </c>
      <c r="J146" s="6">
        <v>7493.25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7">
        <f t="shared" si="4"/>
        <v>11008.3987</v>
      </c>
    </row>
    <row r="147" spans="1:18">
      <c r="A147" s="3" t="s">
        <v>24</v>
      </c>
      <c r="B147" s="3" t="s">
        <v>94</v>
      </c>
      <c r="C147" s="3" t="s">
        <v>173</v>
      </c>
      <c r="D147" s="6">
        <v>5.0323</v>
      </c>
      <c r="E147" s="6">
        <v>70.92</v>
      </c>
      <c r="F147" s="6">
        <v>0</v>
      </c>
      <c r="G147" s="6">
        <v>0</v>
      </c>
      <c r="H147" s="6">
        <v>0</v>
      </c>
      <c r="I147" s="6">
        <v>297.3075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7">
        <f t="shared" si="4"/>
        <v>373.2598</v>
      </c>
    </row>
    <row r="148" spans="1:18">
      <c r="A148" s="3" t="s">
        <v>24</v>
      </c>
      <c r="B148" s="3" t="s">
        <v>94</v>
      </c>
      <c r="C148" s="3" t="s">
        <v>174</v>
      </c>
      <c r="D148" s="6">
        <v>0</v>
      </c>
      <c r="E148" s="6">
        <v>0</v>
      </c>
      <c r="F148" s="6">
        <v>0</v>
      </c>
      <c r="G148" s="6">
        <v>0</v>
      </c>
      <c r="H148" s="6">
        <v>0</v>
      </c>
      <c r="I148" s="6">
        <v>6596.088</v>
      </c>
      <c r="J148" s="6">
        <v>6268.65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7">
        <f t="shared" si="4"/>
        <v>12864.738</v>
      </c>
    </row>
    <row r="149" spans="1:18">
      <c r="A149" s="3" t="s">
        <v>24</v>
      </c>
      <c r="B149" s="3" t="s">
        <v>94</v>
      </c>
      <c r="C149" s="3" t="s">
        <v>175</v>
      </c>
      <c r="D149" s="6">
        <v>19.3668</v>
      </c>
      <c r="E149" s="6">
        <v>219.7692</v>
      </c>
      <c r="F149" s="6">
        <v>0</v>
      </c>
      <c r="G149" s="6">
        <v>0</v>
      </c>
      <c r="H149" s="6">
        <v>0</v>
      </c>
      <c r="I149" s="6">
        <v>493.053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7">
        <f t="shared" si="4"/>
        <v>732.189</v>
      </c>
    </row>
    <row r="150" spans="1:18">
      <c r="A150" s="3" t="s">
        <v>24</v>
      </c>
      <c r="B150" s="3" t="s">
        <v>94</v>
      </c>
      <c r="C150" s="3" t="s">
        <v>176</v>
      </c>
      <c r="D150" s="6">
        <v>0</v>
      </c>
      <c r="E150" s="6">
        <v>0</v>
      </c>
      <c r="F150" s="6">
        <v>0</v>
      </c>
      <c r="G150" s="6">
        <v>0</v>
      </c>
      <c r="H150" s="6">
        <v>0</v>
      </c>
      <c r="I150" s="6">
        <v>2472.4755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7">
        <f t="shared" si="4"/>
        <v>2472.4755</v>
      </c>
    </row>
    <row r="151" spans="1:18">
      <c r="A151" s="3" t="s">
        <v>24</v>
      </c>
      <c r="B151" s="3" t="s">
        <v>94</v>
      </c>
      <c r="C151" s="3" t="s">
        <v>177</v>
      </c>
      <c r="D151" s="6">
        <v>7.9146</v>
      </c>
      <c r="E151" s="6">
        <v>7.4743</v>
      </c>
      <c r="F151" s="6">
        <v>0</v>
      </c>
      <c r="G151" s="6">
        <v>0</v>
      </c>
      <c r="H151" s="6">
        <v>0</v>
      </c>
      <c r="I151" s="6">
        <v>352.194</v>
      </c>
      <c r="J151" s="6">
        <v>0</v>
      </c>
      <c r="K151" s="6">
        <v>0</v>
      </c>
      <c r="L151" s="6">
        <v>0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7">
        <f t="shared" si="4"/>
        <v>367.5829</v>
      </c>
    </row>
    <row r="152" spans="1:18">
      <c r="A152" s="3" t="s">
        <v>24</v>
      </c>
      <c r="B152" s="3" t="s">
        <v>94</v>
      </c>
      <c r="C152" s="3" t="s">
        <v>178</v>
      </c>
      <c r="D152" s="6">
        <v>12.2929</v>
      </c>
      <c r="E152" s="6">
        <v>4.032</v>
      </c>
      <c r="F152" s="6">
        <v>0</v>
      </c>
      <c r="G152" s="6">
        <v>0</v>
      </c>
      <c r="H152" s="6">
        <v>0</v>
      </c>
      <c r="I152" s="6">
        <v>14.8305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7">
        <f t="shared" si="4"/>
        <v>31.1554</v>
      </c>
    </row>
    <row r="153" spans="1:18">
      <c r="A153" s="3" t="s">
        <v>24</v>
      </c>
      <c r="B153" s="3" t="s">
        <v>179</v>
      </c>
      <c r="C153" s="3" t="s">
        <v>180</v>
      </c>
      <c r="D153" s="6">
        <v>0</v>
      </c>
      <c r="E153" s="6">
        <v>0</v>
      </c>
      <c r="F153" s="6">
        <v>0</v>
      </c>
      <c r="G153" s="6">
        <v>0</v>
      </c>
      <c r="H153" s="6">
        <v>0</v>
      </c>
      <c r="I153" s="6">
        <v>30554.3775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7">
        <f t="shared" si="4"/>
        <v>30554.3775</v>
      </c>
    </row>
    <row r="154" spans="1:18">
      <c r="A154" s="3" t="s">
        <v>24</v>
      </c>
      <c r="B154" s="3" t="s">
        <v>179</v>
      </c>
      <c r="C154" s="3" t="s">
        <v>181</v>
      </c>
      <c r="D154" s="6">
        <v>0</v>
      </c>
      <c r="E154" s="6">
        <v>222.264</v>
      </c>
      <c r="F154" s="6">
        <v>0</v>
      </c>
      <c r="G154" s="6">
        <v>0</v>
      </c>
      <c r="H154" s="6">
        <v>0</v>
      </c>
      <c r="I154" s="6">
        <v>11242.566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7">
        <f t="shared" si="4"/>
        <v>11464.83</v>
      </c>
    </row>
    <row r="155" spans="1:18">
      <c r="A155" s="3" t="s">
        <v>24</v>
      </c>
      <c r="B155" s="3" t="s">
        <v>179</v>
      </c>
      <c r="C155" s="3" t="s">
        <v>182</v>
      </c>
      <c r="D155" s="6">
        <v>0</v>
      </c>
      <c r="E155" s="6">
        <v>0</v>
      </c>
      <c r="F155" s="6">
        <v>0</v>
      </c>
      <c r="G155" s="6">
        <v>0</v>
      </c>
      <c r="H155" s="6">
        <v>0</v>
      </c>
      <c r="I155" s="6">
        <v>150.3945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7">
        <f t="shared" si="4"/>
        <v>150.3945</v>
      </c>
    </row>
    <row r="156" spans="1:18">
      <c r="A156" s="3" t="s">
        <v>24</v>
      </c>
      <c r="B156" s="3" t="s">
        <v>179</v>
      </c>
      <c r="C156" s="3" t="s">
        <v>183</v>
      </c>
      <c r="D156" s="6">
        <v>0</v>
      </c>
      <c r="E156" s="6">
        <v>0</v>
      </c>
      <c r="F156" s="6">
        <v>0</v>
      </c>
      <c r="G156" s="6">
        <v>0</v>
      </c>
      <c r="H156" s="6">
        <v>0</v>
      </c>
      <c r="I156" s="6">
        <v>0.1665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7">
        <f t="shared" si="4"/>
        <v>0.1665</v>
      </c>
    </row>
    <row r="157" spans="1:18">
      <c r="A157" s="3" t="s">
        <v>24</v>
      </c>
      <c r="B157" s="3" t="s">
        <v>179</v>
      </c>
      <c r="C157" s="3" t="s">
        <v>184</v>
      </c>
      <c r="D157" s="6">
        <v>0</v>
      </c>
      <c r="E157" s="6">
        <v>0</v>
      </c>
      <c r="F157" s="6">
        <v>0</v>
      </c>
      <c r="G157" s="6">
        <v>0</v>
      </c>
      <c r="H157" s="6">
        <v>0</v>
      </c>
      <c r="I157" s="6">
        <v>6369.945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7">
        <f t="shared" si="4"/>
        <v>6369.945</v>
      </c>
    </row>
    <row r="158" spans="1:18">
      <c r="A158" s="3" t="s">
        <v>24</v>
      </c>
      <c r="B158" s="3" t="s">
        <v>179</v>
      </c>
      <c r="C158" s="3" t="s">
        <v>185</v>
      </c>
      <c r="D158" s="6">
        <v>0</v>
      </c>
      <c r="E158" s="6">
        <v>0</v>
      </c>
      <c r="F158" s="6">
        <v>0</v>
      </c>
      <c r="G158" s="6">
        <v>0</v>
      </c>
      <c r="H158" s="6">
        <v>0</v>
      </c>
      <c r="I158" s="6">
        <v>271617.9525</v>
      </c>
      <c r="J158" s="6">
        <v>58986.965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7">
        <f t="shared" si="4"/>
        <v>330604.9175</v>
      </c>
    </row>
    <row r="159" spans="1:18">
      <c r="A159" s="3" t="s">
        <v>24</v>
      </c>
      <c r="B159" s="3" t="s">
        <v>179</v>
      </c>
      <c r="C159" s="3" t="s">
        <v>186</v>
      </c>
      <c r="D159" s="6">
        <v>0</v>
      </c>
      <c r="E159" s="6">
        <v>1.62</v>
      </c>
      <c r="F159" s="6">
        <v>0</v>
      </c>
      <c r="G159" s="6">
        <v>0</v>
      </c>
      <c r="H159" s="6">
        <v>0</v>
      </c>
      <c r="I159" s="6">
        <v>141364.242</v>
      </c>
      <c r="J159" s="6">
        <v>58630.5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7">
        <f t="shared" si="4"/>
        <v>199996.362</v>
      </c>
    </row>
    <row r="160" spans="1:18">
      <c r="A160" s="3" t="s">
        <v>24</v>
      </c>
      <c r="B160" s="3" t="s">
        <v>179</v>
      </c>
      <c r="C160" s="3" t="s">
        <v>187</v>
      </c>
      <c r="D160" s="6">
        <v>0</v>
      </c>
      <c r="E160" s="6">
        <v>2.592</v>
      </c>
      <c r="F160" s="6">
        <v>0</v>
      </c>
      <c r="G160" s="6">
        <v>0</v>
      </c>
      <c r="H160" s="6">
        <v>0</v>
      </c>
      <c r="I160" s="6">
        <v>169716.243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7">
        <f t="shared" si="4"/>
        <v>169718.835</v>
      </c>
    </row>
    <row r="161" spans="1:18">
      <c r="A161" s="3" t="s">
        <v>24</v>
      </c>
      <c r="B161" s="3" t="s">
        <v>179</v>
      </c>
      <c r="C161" s="3" t="s">
        <v>188</v>
      </c>
      <c r="D161" s="6">
        <v>0</v>
      </c>
      <c r="E161" s="6">
        <v>0</v>
      </c>
      <c r="F161" s="6">
        <v>0</v>
      </c>
      <c r="G161" s="6">
        <v>0</v>
      </c>
      <c r="H161" s="6">
        <v>0</v>
      </c>
      <c r="I161" s="6">
        <v>4.344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7">
        <f t="shared" si="4"/>
        <v>4.344</v>
      </c>
    </row>
    <row r="162" spans="1:18">
      <c r="A162" s="3" t="s">
        <v>24</v>
      </c>
      <c r="B162" s="3" t="s">
        <v>179</v>
      </c>
      <c r="C162" s="3" t="s">
        <v>189</v>
      </c>
      <c r="D162" s="6">
        <v>0</v>
      </c>
      <c r="E162" s="6">
        <v>0</v>
      </c>
      <c r="F162" s="6">
        <v>0</v>
      </c>
      <c r="G162" s="6">
        <v>0</v>
      </c>
      <c r="H162" s="6">
        <v>0</v>
      </c>
      <c r="I162" s="6">
        <v>794330.118</v>
      </c>
      <c r="J162" s="6">
        <v>212588.68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7">
        <f t="shared" si="4"/>
        <v>1006918.798</v>
      </c>
    </row>
    <row r="163" spans="1:18">
      <c r="A163" s="3" t="s">
        <v>24</v>
      </c>
      <c r="B163" s="3" t="s">
        <v>179</v>
      </c>
      <c r="C163" s="3" t="s">
        <v>190</v>
      </c>
      <c r="D163" s="6">
        <v>0</v>
      </c>
      <c r="E163" s="6">
        <v>0</v>
      </c>
      <c r="F163" s="6">
        <v>0</v>
      </c>
      <c r="G163" s="6">
        <v>0</v>
      </c>
      <c r="H163" s="6">
        <v>0</v>
      </c>
      <c r="I163" s="6">
        <v>1261.5615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7">
        <f t="shared" si="4"/>
        <v>1261.5615</v>
      </c>
    </row>
    <row r="164" spans="1:18">
      <c r="A164" s="3" t="s">
        <v>24</v>
      </c>
      <c r="B164" s="3" t="s">
        <v>179</v>
      </c>
      <c r="C164" s="3" t="s">
        <v>191</v>
      </c>
      <c r="D164" s="6">
        <v>0</v>
      </c>
      <c r="E164" s="6">
        <v>3.456</v>
      </c>
      <c r="F164" s="6">
        <v>0</v>
      </c>
      <c r="G164" s="6">
        <v>0</v>
      </c>
      <c r="H164" s="6">
        <v>0</v>
      </c>
      <c r="I164" s="6">
        <v>85306.7535</v>
      </c>
      <c r="J164" s="6">
        <v>73541.06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7">
        <f t="shared" si="4"/>
        <v>158851.2695</v>
      </c>
    </row>
    <row r="165" spans="1:18">
      <c r="A165" s="3" t="s">
        <v>24</v>
      </c>
      <c r="B165" s="3" t="s">
        <v>179</v>
      </c>
      <c r="C165" s="3" t="s">
        <v>192</v>
      </c>
      <c r="D165" s="6">
        <v>0</v>
      </c>
      <c r="E165" s="6">
        <v>347.355</v>
      </c>
      <c r="F165" s="6">
        <v>0</v>
      </c>
      <c r="G165" s="6">
        <v>0</v>
      </c>
      <c r="H165" s="6">
        <v>0</v>
      </c>
      <c r="I165" s="6">
        <v>104680.7085</v>
      </c>
      <c r="J165" s="6">
        <v>102989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7">
        <f t="shared" si="4"/>
        <v>208017.0635</v>
      </c>
    </row>
    <row r="166" spans="1:18">
      <c r="A166" s="3" t="s">
        <v>24</v>
      </c>
      <c r="B166" s="3" t="s">
        <v>179</v>
      </c>
      <c r="C166" s="3" t="s">
        <v>193</v>
      </c>
      <c r="D166" s="6">
        <v>0</v>
      </c>
      <c r="E166" s="6">
        <v>195.84</v>
      </c>
      <c r="F166" s="6">
        <v>0</v>
      </c>
      <c r="G166" s="6">
        <v>0</v>
      </c>
      <c r="H166" s="6">
        <v>0</v>
      </c>
      <c r="I166" s="6">
        <v>197135.118</v>
      </c>
      <c r="J166" s="6">
        <v>78395.52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7">
        <f t="shared" si="4"/>
        <v>275726.478</v>
      </c>
    </row>
    <row r="167" spans="1:18">
      <c r="A167" s="3" t="s">
        <v>24</v>
      </c>
      <c r="B167" s="3" t="s">
        <v>179</v>
      </c>
      <c r="C167" s="3" t="s">
        <v>194</v>
      </c>
      <c r="D167" s="6">
        <v>0</v>
      </c>
      <c r="E167" s="6">
        <v>0</v>
      </c>
      <c r="F167" s="6">
        <v>0</v>
      </c>
      <c r="G167" s="6">
        <v>0</v>
      </c>
      <c r="H167" s="6">
        <v>0</v>
      </c>
      <c r="I167" s="6">
        <v>1199.583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7">
        <f t="shared" si="4"/>
        <v>1199.583</v>
      </c>
    </row>
    <row r="168" spans="1:18">
      <c r="A168" s="3" t="s">
        <v>24</v>
      </c>
      <c r="B168" s="3" t="s">
        <v>179</v>
      </c>
      <c r="C168" s="3" t="s">
        <v>195</v>
      </c>
      <c r="D168" s="6">
        <v>0</v>
      </c>
      <c r="E168" s="6">
        <v>91.512</v>
      </c>
      <c r="F168" s="6">
        <v>0</v>
      </c>
      <c r="G168" s="6">
        <v>0</v>
      </c>
      <c r="H168" s="6">
        <v>0</v>
      </c>
      <c r="I168" s="6">
        <v>118489.971</v>
      </c>
      <c r="J168" s="6">
        <v>208382.155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7">
        <f t="shared" si="4"/>
        <v>326963.638</v>
      </c>
    </row>
    <row r="169" spans="1:18">
      <c r="A169" s="3" t="s">
        <v>24</v>
      </c>
      <c r="B169" s="3" t="s">
        <v>179</v>
      </c>
      <c r="C169" s="3" t="s">
        <v>196</v>
      </c>
      <c r="D169" s="6">
        <v>0</v>
      </c>
      <c r="E169" s="6">
        <v>53.856</v>
      </c>
      <c r="F169" s="6">
        <v>0</v>
      </c>
      <c r="G169" s="6">
        <v>0</v>
      </c>
      <c r="H169" s="6">
        <v>0</v>
      </c>
      <c r="I169" s="6">
        <v>215041.704</v>
      </c>
      <c r="J169" s="6">
        <v>91720.44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7">
        <f t="shared" si="4"/>
        <v>306816</v>
      </c>
    </row>
    <row r="170" spans="1:18">
      <c r="A170" s="3" t="s">
        <v>24</v>
      </c>
      <c r="B170" s="3" t="s">
        <v>179</v>
      </c>
      <c r="C170" s="3" t="s">
        <v>197</v>
      </c>
      <c r="D170" s="6">
        <v>0</v>
      </c>
      <c r="E170" s="6">
        <v>226.7136</v>
      </c>
      <c r="F170" s="6">
        <v>0</v>
      </c>
      <c r="G170" s="6">
        <v>0</v>
      </c>
      <c r="H170" s="6">
        <v>0</v>
      </c>
      <c r="I170" s="6">
        <v>414964.7175</v>
      </c>
      <c r="J170" s="6">
        <v>104916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7">
        <f t="shared" si="4"/>
        <v>520107.4311</v>
      </c>
    </row>
    <row r="171" spans="1:18">
      <c r="A171" s="3" t="s">
        <v>24</v>
      </c>
      <c r="B171" s="3" t="s">
        <v>179</v>
      </c>
      <c r="C171" s="3" t="s">
        <v>198</v>
      </c>
      <c r="D171" s="6">
        <v>0</v>
      </c>
      <c r="E171" s="6">
        <v>0</v>
      </c>
      <c r="F171" s="6">
        <v>0</v>
      </c>
      <c r="G171" s="6">
        <v>0</v>
      </c>
      <c r="H171" s="6">
        <v>0</v>
      </c>
      <c r="I171" s="6">
        <v>37360.7715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7">
        <f t="shared" ref="R171:R183" si="5">SUM(D171:Q171)</f>
        <v>37360.7715</v>
      </c>
    </row>
    <row r="172" spans="1:18">
      <c r="A172" s="3" t="s">
        <v>24</v>
      </c>
      <c r="B172" s="3" t="s">
        <v>199</v>
      </c>
      <c r="C172" s="3" t="s">
        <v>200</v>
      </c>
      <c r="D172" s="6">
        <v>0.3445</v>
      </c>
      <c r="E172" s="6">
        <v>0</v>
      </c>
      <c r="F172" s="6">
        <v>0</v>
      </c>
      <c r="G172" s="6">
        <v>0</v>
      </c>
      <c r="H172" s="6">
        <v>0</v>
      </c>
      <c r="I172" s="6">
        <v>5.589</v>
      </c>
      <c r="J172" s="6">
        <v>0</v>
      </c>
      <c r="K172" s="6">
        <v>0</v>
      </c>
      <c r="L172" s="6">
        <v>0</v>
      </c>
      <c r="M172" s="6">
        <v>0</v>
      </c>
      <c r="N172" s="6">
        <v>0</v>
      </c>
      <c r="O172" s="6">
        <v>0</v>
      </c>
      <c r="P172" s="6">
        <v>0</v>
      </c>
      <c r="Q172" s="6">
        <v>0</v>
      </c>
      <c r="R172" s="7">
        <f t="shared" si="5"/>
        <v>5.9335</v>
      </c>
    </row>
    <row r="173" spans="1:18">
      <c r="A173" s="3" t="s">
        <v>24</v>
      </c>
      <c r="B173" s="3" t="s">
        <v>199</v>
      </c>
      <c r="C173" s="3" t="s">
        <v>201</v>
      </c>
      <c r="D173" s="6">
        <v>0</v>
      </c>
      <c r="E173" s="6">
        <v>0</v>
      </c>
      <c r="F173" s="6">
        <v>0</v>
      </c>
      <c r="G173" s="6">
        <v>0</v>
      </c>
      <c r="H173" s="6">
        <v>0</v>
      </c>
      <c r="I173" s="6">
        <v>0</v>
      </c>
      <c r="J173" s="6">
        <v>0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6">
        <v>0</v>
      </c>
      <c r="Q173" s="6">
        <v>0</v>
      </c>
      <c r="R173" s="7">
        <f t="shared" si="5"/>
        <v>0</v>
      </c>
    </row>
    <row r="174" spans="1:18">
      <c r="A174" s="3" t="s">
        <v>24</v>
      </c>
      <c r="B174" s="3" t="s">
        <v>199</v>
      </c>
      <c r="C174" s="3" t="s">
        <v>202</v>
      </c>
      <c r="D174" s="6">
        <v>8.611</v>
      </c>
      <c r="E174" s="6">
        <v>0</v>
      </c>
      <c r="F174" s="6">
        <v>0</v>
      </c>
      <c r="G174" s="6">
        <v>0</v>
      </c>
      <c r="H174" s="6">
        <v>0</v>
      </c>
      <c r="I174" s="6">
        <v>0.3495</v>
      </c>
      <c r="J174" s="6">
        <v>0</v>
      </c>
      <c r="K174" s="6">
        <v>0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  <c r="Q174" s="6">
        <v>0</v>
      </c>
      <c r="R174" s="7">
        <f t="shared" si="5"/>
        <v>8.9605</v>
      </c>
    </row>
    <row r="175" spans="1:18">
      <c r="A175" s="3" t="s">
        <v>24</v>
      </c>
      <c r="B175" s="3" t="s">
        <v>199</v>
      </c>
      <c r="C175" s="3" t="s">
        <v>203</v>
      </c>
      <c r="D175" s="6">
        <v>17.3454</v>
      </c>
      <c r="E175" s="6">
        <v>0</v>
      </c>
      <c r="F175" s="6">
        <v>0</v>
      </c>
      <c r="G175" s="6">
        <v>0</v>
      </c>
      <c r="H175" s="6">
        <v>0</v>
      </c>
      <c r="I175" s="6">
        <v>78.6075</v>
      </c>
      <c r="J175" s="6">
        <v>0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7">
        <f t="shared" si="5"/>
        <v>95.9529</v>
      </c>
    </row>
    <row r="176" spans="1:18">
      <c r="A176" s="3" t="s">
        <v>24</v>
      </c>
      <c r="B176" s="3" t="s">
        <v>199</v>
      </c>
      <c r="C176" s="3" t="s">
        <v>204</v>
      </c>
      <c r="D176" s="6">
        <v>17.8784</v>
      </c>
      <c r="E176" s="6">
        <v>0</v>
      </c>
      <c r="F176" s="6">
        <v>0</v>
      </c>
      <c r="G176" s="6">
        <v>0</v>
      </c>
      <c r="H176" s="6">
        <v>0</v>
      </c>
      <c r="I176" s="6">
        <v>0.1245</v>
      </c>
      <c r="J176" s="6">
        <v>0</v>
      </c>
      <c r="K176" s="6">
        <v>0</v>
      </c>
      <c r="L176" s="6">
        <v>0</v>
      </c>
      <c r="M176" s="6">
        <v>0</v>
      </c>
      <c r="N176" s="6">
        <v>0</v>
      </c>
      <c r="O176" s="6">
        <v>0</v>
      </c>
      <c r="P176" s="6">
        <v>0</v>
      </c>
      <c r="Q176" s="6">
        <v>0</v>
      </c>
      <c r="R176" s="7">
        <f t="shared" si="5"/>
        <v>18.0029</v>
      </c>
    </row>
    <row r="177" spans="1:18">
      <c r="A177" s="3" t="s">
        <v>24</v>
      </c>
      <c r="B177" s="3" t="s">
        <v>199</v>
      </c>
      <c r="C177" s="3" t="s">
        <v>205</v>
      </c>
      <c r="D177" s="6">
        <v>0.6127</v>
      </c>
      <c r="E177" s="6">
        <v>0</v>
      </c>
      <c r="F177" s="6">
        <v>0</v>
      </c>
      <c r="G177" s="6">
        <v>0</v>
      </c>
      <c r="H177" s="6">
        <v>0</v>
      </c>
      <c r="I177" s="6">
        <v>16.0245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7">
        <f t="shared" si="5"/>
        <v>16.6372</v>
      </c>
    </row>
    <row r="178" spans="1:18">
      <c r="A178" s="3" t="s">
        <v>24</v>
      </c>
      <c r="B178" s="3" t="s">
        <v>199</v>
      </c>
      <c r="C178" s="3" t="s">
        <v>206</v>
      </c>
      <c r="D178" s="6">
        <v>9.3877</v>
      </c>
      <c r="E178" s="6">
        <v>0</v>
      </c>
      <c r="F178" s="6">
        <v>0</v>
      </c>
      <c r="G178" s="6">
        <v>0</v>
      </c>
      <c r="H178" s="6">
        <v>0</v>
      </c>
      <c r="I178" s="6">
        <v>14.133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0</v>
      </c>
      <c r="Q178" s="6">
        <v>0</v>
      </c>
      <c r="R178" s="7">
        <f t="shared" si="5"/>
        <v>23.5207</v>
      </c>
    </row>
    <row r="179" spans="1:18">
      <c r="A179" s="3" t="s">
        <v>24</v>
      </c>
      <c r="B179" s="3" t="s">
        <v>199</v>
      </c>
      <c r="C179" s="3" t="s">
        <v>207</v>
      </c>
      <c r="D179" s="6">
        <v>12.4988</v>
      </c>
      <c r="E179" s="6">
        <v>0</v>
      </c>
      <c r="F179" s="6">
        <v>0</v>
      </c>
      <c r="G179" s="6">
        <v>1474.8</v>
      </c>
      <c r="H179" s="6">
        <v>0</v>
      </c>
      <c r="I179" s="6">
        <v>33.9435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7">
        <f t="shared" si="5"/>
        <v>1521.2423</v>
      </c>
    </row>
    <row r="180" spans="1:18">
      <c r="A180" s="3" t="s">
        <v>24</v>
      </c>
      <c r="B180" s="3" t="s">
        <v>199</v>
      </c>
      <c r="C180" s="3" t="s">
        <v>208</v>
      </c>
      <c r="D180" s="6">
        <v>0</v>
      </c>
      <c r="E180" s="6">
        <v>0</v>
      </c>
      <c r="F180" s="6">
        <v>0</v>
      </c>
      <c r="G180" s="6">
        <v>0</v>
      </c>
      <c r="H180" s="6">
        <v>0</v>
      </c>
      <c r="I180" s="6">
        <v>10.8105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7">
        <f t="shared" si="5"/>
        <v>10.8105</v>
      </c>
    </row>
    <row r="181" spans="1:18">
      <c r="A181" s="3" t="s">
        <v>24</v>
      </c>
      <c r="B181" s="3" t="s">
        <v>199</v>
      </c>
      <c r="C181" s="3" t="s">
        <v>209</v>
      </c>
      <c r="D181" s="6">
        <v>0</v>
      </c>
      <c r="E181" s="6">
        <v>0</v>
      </c>
      <c r="F181" s="6">
        <v>0</v>
      </c>
      <c r="G181" s="6">
        <v>0</v>
      </c>
      <c r="H181" s="6">
        <v>0</v>
      </c>
      <c r="I181" s="6">
        <v>1245.312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7">
        <f t="shared" si="5"/>
        <v>1245.312</v>
      </c>
    </row>
    <row r="182" spans="1:18">
      <c r="A182" s="3" t="s">
        <v>24</v>
      </c>
      <c r="B182" s="3" t="s">
        <v>199</v>
      </c>
      <c r="C182" s="3" t="s">
        <v>210</v>
      </c>
      <c r="D182" s="6">
        <v>8.9352</v>
      </c>
      <c r="E182" s="6">
        <v>0</v>
      </c>
      <c r="F182" s="6">
        <v>0</v>
      </c>
      <c r="G182" s="6">
        <v>1260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7">
        <f t="shared" si="5"/>
        <v>1268.9352</v>
      </c>
    </row>
    <row r="183" spans="1:18">
      <c r="A183" s="3" t="s">
        <v>24</v>
      </c>
      <c r="B183" s="3" t="s">
        <v>199</v>
      </c>
      <c r="C183" s="3" t="s">
        <v>211</v>
      </c>
      <c r="D183" s="6">
        <v>3.1213</v>
      </c>
      <c r="E183" s="6">
        <v>0</v>
      </c>
      <c r="F183" s="6">
        <v>0</v>
      </c>
      <c r="G183" s="6">
        <v>639.2</v>
      </c>
      <c r="H183" s="6">
        <v>0</v>
      </c>
      <c r="I183" s="6">
        <v>8.37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7">
        <f t="shared" si="5"/>
        <v>650.6913</v>
      </c>
    </row>
    <row r="184" spans="1:18">
      <c r="A184" s="3" t="s">
        <v>24</v>
      </c>
      <c r="B184" s="3" t="s">
        <v>199</v>
      </c>
      <c r="C184" s="3" t="s">
        <v>212</v>
      </c>
      <c r="D184" s="6">
        <v>16.2403</v>
      </c>
      <c r="E184" s="6">
        <v>0</v>
      </c>
      <c r="F184" s="6">
        <v>0</v>
      </c>
      <c r="G184" s="6">
        <v>2290.4</v>
      </c>
      <c r="H184" s="6">
        <v>0</v>
      </c>
      <c r="I184" s="6">
        <v>29.841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7">
        <f t="shared" ref="R184:R200" si="6">SUM(D184:Q184)</f>
        <v>2336.4813</v>
      </c>
    </row>
    <row r="185" spans="1:18">
      <c r="A185" s="3" t="s">
        <v>24</v>
      </c>
      <c r="B185" s="3" t="s">
        <v>199</v>
      </c>
      <c r="C185" s="3" t="s">
        <v>213</v>
      </c>
      <c r="D185" s="6">
        <v>12.9761</v>
      </c>
      <c r="E185" s="6">
        <v>0</v>
      </c>
      <c r="F185" s="6">
        <v>0</v>
      </c>
      <c r="G185" s="6">
        <v>1797.6</v>
      </c>
      <c r="H185" s="6">
        <v>0</v>
      </c>
      <c r="I185" s="6">
        <v>220.8225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7">
        <f t="shared" si="6"/>
        <v>2031.3986</v>
      </c>
    </row>
    <row r="186" spans="1:18">
      <c r="A186" s="3" t="s">
        <v>24</v>
      </c>
      <c r="B186" s="3" t="s">
        <v>199</v>
      </c>
      <c r="C186" s="3" t="s">
        <v>214</v>
      </c>
      <c r="D186" s="6">
        <v>0</v>
      </c>
      <c r="E186" s="6">
        <v>0</v>
      </c>
      <c r="F186" s="6">
        <v>0</v>
      </c>
      <c r="G186" s="6">
        <v>0</v>
      </c>
      <c r="H186" s="6">
        <v>0</v>
      </c>
      <c r="I186" s="6">
        <v>0.423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7">
        <f t="shared" si="6"/>
        <v>0.423</v>
      </c>
    </row>
    <row r="187" spans="1:18">
      <c r="A187" s="3" t="s">
        <v>24</v>
      </c>
      <c r="B187" s="3" t="s">
        <v>199</v>
      </c>
      <c r="C187" s="3" t="s">
        <v>215</v>
      </c>
      <c r="D187" s="6">
        <v>12.663</v>
      </c>
      <c r="E187" s="6">
        <v>0</v>
      </c>
      <c r="F187" s="6">
        <v>0</v>
      </c>
      <c r="G187" s="6">
        <v>927.6</v>
      </c>
      <c r="H187" s="6">
        <v>0</v>
      </c>
      <c r="I187" s="6">
        <v>0</v>
      </c>
      <c r="J187" s="6">
        <v>0</v>
      </c>
      <c r="K187" s="6">
        <v>0</v>
      </c>
      <c r="L187" s="6">
        <v>0</v>
      </c>
      <c r="M187" s="6">
        <v>0</v>
      </c>
      <c r="N187" s="6">
        <v>0</v>
      </c>
      <c r="O187" s="6">
        <v>0</v>
      </c>
      <c r="P187" s="6">
        <v>0</v>
      </c>
      <c r="Q187" s="6">
        <v>0</v>
      </c>
      <c r="R187" s="7">
        <f t="shared" si="6"/>
        <v>940.263</v>
      </c>
    </row>
    <row r="188" spans="1:18">
      <c r="A188" s="3" t="s">
        <v>24</v>
      </c>
      <c r="B188" s="3" t="s">
        <v>199</v>
      </c>
      <c r="C188" s="3" t="s">
        <v>216</v>
      </c>
      <c r="D188" s="6">
        <v>6.9473</v>
      </c>
      <c r="E188" s="6">
        <v>0</v>
      </c>
      <c r="F188" s="6">
        <v>0</v>
      </c>
      <c r="G188" s="6">
        <v>0</v>
      </c>
      <c r="H188" s="6">
        <v>0</v>
      </c>
      <c r="I188" s="6">
        <v>327.2895</v>
      </c>
      <c r="J188" s="6">
        <v>0</v>
      </c>
      <c r="K188" s="6">
        <v>0</v>
      </c>
      <c r="L188" s="6">
        <v>0</v>
      </c>
      <c r="M188" s="6">
        <v>0</v>
      </c>
      <c r="N188" s="6">
        <v>0</v>
      </c>
      <c r="O188" s="6">
        <v>0</v>
      </c>
      <c r="P188" s="6">
        <v>0</v>
      </c>
      <c r="Q188" s="6">
        <v>0</v>
      </c>
      <c r="R188" s="7">
        <f t="shared" si="6"/>
        <v>334.2368</v>
      </c>
    </row>
    <row r="189" spans="1:18">
      <c r="A189" s="3" t="s">
        <v>24</v>
      </c>
      <c r="B189" s="3" t="s">
        <v>199</v>
      </c>
      <c r="C189" s="3" t="s">
        <v>217</v>
      </c>
      <c r="D189" s="6">
        <v>4.8907</v>
      </c>
      <c r="E189" s="6">
        <v>0</v>
      </c>
      <c r="F189" s="6">
        <v>0</v>
      </c>
      <c r="G189" s="6">
        <v>0</v>
      </c>
      <c r="H189" s="6">
        <v>0</v>
      </c>
      <c r="I189" s="6">
        <v>99.6075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7">
        <f t="shared" si="6"/>
        <v>104.4982</v>
      </c>
    </row>
    <row r="190" spans="1:18">
      <c r="A190" s="3" t="s">
        <v>24</v>
      </c>
      <c r="B190" s="3" t="s">
        <v>199</v>
      </c>
      <c r="C190" s="3" t="s">
        <v>218</v>
      </c>
      <c r="D190" s="6">
        <v>2.6052</v>
      </c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7">
        <f t="shared" si="6"/>
        <v>2.6052</v>
      </c>
    </row>
    <row r="191" spans="1:18">
      <c r="A191" s="3" t="s">
        <v>24</v>
      </c>
      <c r="B191" s="3" t="s">
        <v>199</v>
      </c>
      <c r="C191" s="3" t="s">
        <v>219</v>
      </c>
      <c r="D191" s="6">
        <v>0</v>
      </c>
      <c r="E191" s="6">
        <v>0</v>
      </c>
      <c r="F191" s="6">
        <v>0</v>
      </c>
      <c r="G191" s="6">
        <v>0</v>
      </c>
      <c r="H191" s="6">
        <v>0</v>
      </c>
      <c r="I191" s="6">
        <v>12.069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7">
        <f t="shared" si="6"/>
        <v>12.069</v>
      </c>
    </row>
    <row r="192" spans="1:18">
      <c r="A192" s="3" t="s">
        <v>24</v>
      </c>
      <c r="B192" s="3" t="s">
        <v>199</v>
      </c>
      <c r="C192" s="3" t="s">
        <v>220</v>
      </c>
      <c r="D192" s="6">
        <v>18.7824</v>
      </c>
      <c r="E192" s="6">
        <v>0</v>
      </c>
      <c r="F192" s="6">
        <v>0</v>
      </c>
      <c r="G192" s="6">
        <v>1417.2</v>
      </c>
      <c r="H192" s="6">
        <v>0</v>
      </c>
      <c r="I192" s="6">
        <v>4.641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7">
        <f t="shared" si="6"/>
        <v>1440.6234</v>
      </c>
    </row>
    <row r="193" spans="1:18">
      <c r="A193" s="3" t="s">
        <v>24</v>
      </c>
      <c r="B193" s="3" t="s">
        <v>199</v>
      </c>
      <c r="C193" s="3" t="s">
        <v>221</v>
      </c>
      <c r="D193" s="6">
        <v>2.4886</v>
      </c>
      <c r="E193" s="6">
        <v>0</v>
      </c>
      <c r="F193" s="6">
        <v>0</v>
      </c>
      <c r="G193" s="6">
        <v>0</v>
      </c>
      <c r="H193" s="6">
        <v>0</v>
      </c>
      <c r="I193" s="6">
        <v>16094.667</v>
      </c>
      <c r="J193" s="6">
        <v>1645.1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7">
        <f t="shared" si="6"/>
        <v>17742.2556</v>
      </c>
    </row>
    <row r="194" spans="1:18">
      <c r="A194" s="3" t="s">
        <v>24</v>
      </c>
      <c r="B194" s="3" t="s">
        <v>199</v>
      </c>
      <c r="C194" s="3" t="s">
        <v>222</v>
      </c>
      <c r="D194" s="6">
        <v>4.4861</v>
      </c>
      <c r="E194" s="6">
        <v>0</v>
      </c>
      <c r="F194" s="6">
        <v>0</v>
      </c>
      <c r="G194" s="6">
        <v>567.6</v>
      </c>
      <c r="H194" s="6">
        <v>0</v>
      </c>
      <c r="I194" s="6">
        <v>2.1615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7">
        <f t="shared" si="6"/>
        <v>574.2476</v>
      </c>
    </row>
    <row r="195" spans="1:18">
      <c r="A195" s="3" t="s">
        <v>24</v>
      </c>
      <c r="B195" s="3" t="s">
        <v>199</v>
      </c>
      <c r="C195" s="3" t="s">
        <v>223</v>
      </c>
      <c r="D195" s="6">
        <v>31.7656</v>
      </c>
      <c r="E195" s="6">
        <v>0</v>
      </c>
      <c r="F195" s="6">
        <v>0</v>
      </c>
      <c r="G195" s="6">
        <v>0</v>
      </c>
      <c r="H195" s="6">
        <v>0</v>
      </c>
      <c r="I195" s="6">
        <v>180.8415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7">
        <f t="shared" si="6"/>
        <v>212.6071</v>
      </c>
    </row>
    <row r="196" spans="1:18">
      <c r="A196" s="3" t="s">
        <v>24</v>
      </c>
      <c r="B196" s="3" t="s">
        <v>199</v>
      </c>
      <c r="C196" s="3" t="s">
        <v>224</v>
      </c>
      <c r="D196" s="6">
        <v>0</v>
      </c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7">
        <f t="shared" si="6"/>
        <v>0</v>
      </c>
    </row>
    <row r="197" spans="1:18">
      <c r="A197" s="3" t="s">
        <v>24</v>
      </c>
      <c r="B197" s="3" t="s">
        <v>199</v>
      </c>
      <c r="C197" s="3" t="s">
        <v>225</v>
      </c>
      <c r="D197" s="6">
        <v>9.6043</v>
      </c>
      <c r="E197" s="6">
        <v>0</v>
      </c>
      <c r="F197" s="6">
        <v>0</v>
      </c>
      <c r="G197" s="6">
        <v>935.2</v>
      </c>
      <c r="H197" s="6">
        <v>0</v>
      </c>
      <c r="I197" s="6">
        <v>17.6805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7">
        <f t="shared" si="6"/>
        <v>962.4848</v>
      </c>
    </row>
    <row r="198" spans="1:18">
      <c r="A198" s="3" t="s">
        <v>24</v>
      </c>
      <c r="B198" s="3" t="s">
        <v>199</v>
      </c>
      <c r="C198" s="3" t="s">
        <v>226</v>
      </c>
      <c r="D198" s="6">
        <v>16.6574</v>
      </c>
      <c r="E198" s="6">
        <v>0</v>
      </c>
      <c r="F198" s="6">
        <v>0</v>
      </c>
      <c r="G198" s="6">
        <v>2548.8</v>
      </c>
      <c r="H198" s="6">
        <v>0</v>
      </c>
      <c r="I198" s="6">
        <v>100.5285</v>
      </c>
      <c r="J198" s="6">
        <v>8116.1472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7">
        <f t="shared" si="6"/>
        <v>10782.1331</v>
      </c>
    </row>
    <row r="199" spans="1:18">
      <c r="A199" s="3" t="s">
        <v>24</v>
      </c>
      <c r="B199" s="3" t="s">
        <v>227</v>
      </c>
      <c r="C199" s="3" t="s">
        <v>228</v>
      </c>
      <c r="D199" s="6">
        <v>0</v>
      </c>
      <c r="E199" s="6">
        <v>35732.9146</v>
      </c>
      <c r="F199" s="6">
        <v>0</v>
      </c>
      <c r="G199" s="6">
        <v>0</v>
      </c>
      <c r="H199" s="6">
        <v>0</v>
      </c>
      <c r="I199" s="6">
        <v>0</v>
      </c>
      <c r="J199" s="6">
        <v>0</v>
      </c>
      <c r="K199" s="6">
        <v>0</v>
      </c>
      <c r="L199" s="6">
        <v>0</v>
      </c>
      <c r="M199" s="6">
        <v>0</v>
      </c>
      <c r="N199" s="6">
        <v>0</v>
      </c>
      <c r="O199" s="6">
        <v>0</v>
      </c>
      <c r="P199" s="6">
        <v>0</v>
      </c>
      <c r="Q199" s="6">
        <v>0</v>
      </c>
      <c r="R199" s="7">
        <f t="shared" si="6"/>
        <v>35732.9146</v>
      </c>
    </row>
    <row r="200" spans="1:18">
      <c r="A200" s="3" t="s">
        <v>24</v>
      </c>
      <c r="B200" s="3" t="s">
        <v>227</v>
      </c>
      <c r="C200" s="3" t="s">
        <v>229</v>
      </c>
      <c r="D200" s="6">
        <v>0</v>
      </c>
      <c r="E200" s="6">
        <v>1133605.3132</v>
      </c>
      <c r="F200" s="6">
        <v>0</v>
      </c>
      <c r="G200" s="6">
        <v>0</v>
      </c>
      <c r="H200" s="6">
        <v>0</v>
      </c>
      <c r="I200" s="6">
        <v>0</v>
      </c>
      <c r="J200" s="6">
        <v>0</v>
      </c>
      <c r="K200" s="6">
        <v>0</v>
      </c>
      <c r="L200" s="6">
        <v>0</v>
      </c>
      <c r="M200" s="6">
        <v>0</v>
      </c>
      <c r="N200" s="6">
        <v>0</v>
      </c>
      <c r="O200" s="6">
        <v>0</v>
      </c>
      <c r="P200" s="6">
        <v>0</v>
      </c>
      <c r="Q200" s="6">
        <v>0</v>
      </c>
      <c r="R200" s="7">
        <f t="shared" si="6"/>
        <v>1133605.3132</v>
      </c>
    </row>
  </sheetData>
  <mergeCells count="1">
    <mergeCell ref="A1:R1"/>
  </mergeCells>
  <pageMargins left="0.699305555555556" right="0.699305555555556" top="0.75" bottom="0.75" header="0.3" footer="0.3"/>
  <pageSetup paperSize="9" scale="28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2022-09-28T06:10:00Z</dcterms:created>
  <dcterms:modified xsi:type="dcterms:W3CDTF">2026-05-29T08:38:19Z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40C9EC1A75F8493C97DC07245E40F467</vt:lpwstr>
  </property>
  <property fmtid="{D5CDD505-2E9C-101B-9397-08002B2CF9AE}" pid="3" name="KSOProductBuildVer">
    <vt:lpwstr>2052-10.8.2.6613</vt:lpwstr>
  </property>
</Properties>
</file>