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 tabRatio="491"/>
  </bookViews>
  <sheets>
    <sheet name="工作表" sheetId="1" r:id="rId1"/>
  </sheets>
  <definedNames>
    <definedName name="_xlnm._FilterDatabase" localSheetId="0" hidden="1">工作表!$A$4:$Q$201</definedName>
  </definedNames>
  <calcPr calcId="144525"/>
</workbook>
</file>

<file path=xl/sharedStrings.xml><?xml version="1.0" encoding="utf-8"?>
<sst xmlns="http://schemas.openxmlformats.org/spreadsheetml/2006/main" count="231">
  <si>
    <t>2026年07月补偿分项费用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</si>
  <si>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</si>
  <si>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</si>
  <si>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</si>
  <si>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</si>
  <si>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</si>
  <si>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</si>
  <si>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</si>
  <si>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</si>
  <si>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</si>
  <si>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</si>
  <si>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</si>
  <si>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</si>
  <si>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</si>
  <si>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</si>
  <si>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</si>
  <si>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</si>
  <si>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</si>
  <si>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</si>
  <si>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</si>
  <si>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</si>
  <si>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</si>
  <si>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</si>
  <si>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</si>
  <si>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</si>
  <si>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</si>
  <si>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</si>
  <si>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</si>
  <si>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</si>
  <si>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</si>
  <si>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</si>
  <si>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</si>
  <si>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</si>
  <si>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</si>
  <si>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</si>
  <si>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</si>
  <si>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</si>
  <si>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</si>
  <si>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</si>
  <si>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</si>
  <si>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</si>
  <si>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</si>
  <si>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</si>
  <si>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</si>
  <si>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</si>
  <si>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</si>
  <si>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</si>
  <si>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</si>
  <si>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</si>
  <si>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</si>
  <si>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</si>
  <si>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</si>
  <si>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</si>
  <si>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</si>
  <si>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</si>
  <si>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</si>
  <si>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</si>
  <si>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</si>
  <si>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</si>
  <si>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</si>
  <si>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</si>
  <si>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</si>
  <si>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</si>
  <si>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</si>
  <si>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抽蓄</t>
  </si>
  <si>
    <t>宁蓄厂</t>
  </si>
  <si>
    <t>核电</t>
  </si>
  <si>
    <t>秦山厂</t>
  </si>
  <si>
    <t>三澳核电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</si>
  <si>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</si>
  <si>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</si>
  <si>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</si>
  <si>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</si>
  <si>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</si>
  <si>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</si>
  <si>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</si>
  <si>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</si>
  <si>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</si>
  <si>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</si>
  <si>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</si>
  <si>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</si>
  <si>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</si>
  <si>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</si>
  <si>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</si>
  <si>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</si>
  <si>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</si>
  <si>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</si>
  <si>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</si>
  <si>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</si>
  <si>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</si>
  <si>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</si>
  <si>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</si>
  <si>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</si>
  <si>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220kV镇海发电厂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</si>
  <si>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</si>
  <si>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</si>
  <si>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</si>
  <si>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</si>
  <si>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</si>
  <si>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</si>
  <si>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</si>
  <si>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</si>
  <si>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</si>
  <si>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</si>
  <si>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</si>
  <si>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</si>
  <si>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</si>
  <si>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</si>
  <si>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</si>
  <si>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</si>
  <si>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</si>
  <si>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</si>
  <si>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</si>
  <si>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</si>
  <si>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</si>
  <si>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</si>
  <si>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</si>
  <si>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</si>
  <si>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</si>
  <si>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</si>
  <si>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</si>
  <si>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</si>
  <si>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</si>
  <si>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</si>
  <si>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</si>
  <si>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</si>
  <si>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</si>
  <si>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</si>
  <si>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</si>
  <si>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</si>
  <si>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</si>
  <si>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</si>
  <si>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</si>
  <si>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</si>
  <si>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</si>
  <si>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</si>
  <si>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</si>
  <si>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</si>
  <si>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</si>
  <si>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</si>
  <si>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</si>
  <si>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</si>
  <si>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</si>
  <si>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</si>
  <si>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</si>
  <si>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</si>
  <si>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</si>
  <si>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</si>
  <si>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</si>
  <si>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</si>
  <si>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</si>
  <si>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</si>
  <si>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</si>
  <si>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</si>
  <si>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</si>
  <si>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</si>
  <si>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</si>
  <si>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</si>
  <si>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</si>
  <si>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</si>
  <si>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</si>
  <si>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</si>
  <si>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</si>
  <si>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</si>
  <si>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</si>
  <si>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</si>
  <si>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</si>
  <si>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</si>
  <si>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</si>
  <si>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兴能光伏站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</si>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</sst>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7" borderId="9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" fillId="2" borderId="5" applyNumberFormat="0" applyAlignment="0" applyProtection="0">
      <alignment vertical="center"/>
    </xf>
    <xf numFmtId="0" fontId="1" fillId="2" borderId="3" applyNumberFormat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workbookViewId="0">
      <pane xSplit="3" ySplit="3" topLeftCell="I4" activePane="bottomRight" state="frozen"/>
      <selection/>
      <selection pane="topRight"/>
      <selection pane="bottomLeft"/>
      <selection pane="bottomRight" activeCell="S4" sqref="S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="1" customFormat="1" spans="1:18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</row>
    <row r="3" s="1" customFormat="1" spans="1:18">
      <c r="A3" s="5" t="s">
        <v>16</v>
      </c>
      <c r="B3" s="5" t="s">
        <v>17</v>
      </c>
      <c r="C3" s="6" t="s">
        <v>18</v>
      </c>
      <c r="D3" s="5" t="s">
        <v>19</v>
      </c>
      <c r="E3" s="5" t="s">
        <v>20</v>
      </c>
      <c r="F3" s="5" t="s">
        <v>19</v>
      </c>
      <c r="G3" s="5" t="s">
        <v>19</v>
      </c>
      <c r="H3" s="5" t="s">
        <v>20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  <c r="O3" s="5" t="s">
        <v>19</v>
      </c>
      <c r="P3" s="5" t="s">
        <v>19</v>
      </c>
      <c r="Q3" s="5" t="s">
        <v>19</v>
      </c>
      <c r="R3" s="5" t="s">
        <v>21</v>
      </c>
    </row>
    <row r="4" s="1" customFormat="1" spans="1:18">
      <c r="A4" s="5" t="s">
        <v>22</v>
      </c>
      <c r="B4" s="5" t="s">
        <v>22</v>
      </c>
      <c r="C4" s="5" t="s">
        <v>23</v>
      </c>
      <c r="D4" s="6">
        <f>SUM(D5:D201)</f>
        <v>241227.0188</v>
      </c>
      <c r="E4" s="6">
        <f t="shared" ref="E4:R4" si="0">SUM(E5:E201)</f>
        <v>3155017.5718</v>
      </c>
      <c r="F4" s="6">
        <f t="shared" si="0"/>
        <v>0</v>
      </c>
      <c r="G4" s="6">
        <f t="shared" si="0"/>
        <v>20223571.6</v>
      </c>
      <c r="H4" s="6">
        <f t="shared" si="0"/>
        <v>12410390.4309</v>
      </c>
      <c r="I4" s="6">
        <f t="shared" si="0"/>
        <v>5389966.3965</v>
      </c>
      <c r="J4" s="6">
        <f t="shared" si="0"/>
        <v>22477782.4044</v>
      </c>
      <c r="K4" s="6">
        <f t="shared" si="0"/>
        <v>30008718.5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282500</v>
      </c>
      <c r="R4" s="7">
        <f>SUM(R5:R201)</f>
        <v>94189173.9223999</v>
      </c>
    </row>
    <row r="5" spans="1:18">
      <c r="A5" s="5" t="s">
        <v>24</v>
      </c>
      <c r="B5" s="5" t="s">
        <v>25</v>
      </c>
      <c r="C5" s="5" t="s">
        <v>26</v>
      </c>
      <c r="D5" s="6">
        <v>8834.1335</v>
      </c>
      <c r="E5" s="6">
        <v>0</v>
      </c>
      <c r="F5" s="6">
        <v>0</v>
      </c>
      <c r="G5" s="6">
        <v>672677.2</v>
      </c>
      <c r="H5" s="6">
        <v>0</v>
      </c>
      <c r="I5" s="6">
        <v>826.2015</v>
      </c>
      <c r="J5" s="6">
        <v>721422.9</v>
      </c>
      <c r="K5" s="6">
        <v>734745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2138505.435</v>
      </c>
    </row>
    <row r="6" spans="1:18">
      <c r="A6" s="5" t="s">
        <v>24</v>
      </c>
      <c r="B6" s="5" t="s">
        <v>25</v>
      </c>
      <c r="C6" s="5" t="s">
        <v>27</v>
      </c>
      <c r="D6" s="6">
        <v>4135.3002</v>
      </c>
      <c r="E6" s="6">
        <v>0</v>
      </c>
      <c r="F6" s="6">
        <v>0</v>
      </c>
      <c r="G6" s="6">
        <v>369771.6</v>
      </c>
      <c r="H6" s="6">
        <v>0</v>
      </c>
      <c r="I6" s="6">
        <v>3815.418</v>
      </c>
      <c r="J6" s="6">
        <v>467970.3</v>
      </c>
      <c r="K6" s="6">
        <v>404187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1">SUM(D6:Q6)</f>
        <v>1249879.6182</v>
      </c>
    </row>
    <row r="7" spans="1:18">
      <c r="A7" s="5" t="s">
        <v>24</v>
      </c>
      <c r="B7" s="5" t="s">
        <v>25</v>
      </c>
      <c r="C7" s="5" t="s">
        <v>28</v>
      </c>
      <c r="D7" s="6">
        <v>10247.8787</v>
      </c>
      <c r="E7" s="6">
        <v>0</v>
      </c>
      <c r="F7" s="6">
        <v>0</v>
      </c>
      <c r="G7" s="6">
        <v>333300</v>
      </c>
      <c r="H7" s="6">
        <v>0</v>
      </c>
      <c r="I7" s="6">
        <v>0</v>
      </c>
      <c r="J7" s="6">
        <v>772359</v>
      </c>
      <c r="K7" s="6">
        <v>979000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1"/>
        <v>2094906.8787</v>
      </c>
    </row>
    <row r="8" spans="1:18">
      <c r="A8" s="5" t="s">
        <v>24</v>
      </c>
      <c r="B8" s="5" t="s">
        <v>25</v>
      </c>
      <c r="C8" s="5" t="s">
        <v>29</v>
      </c>
      <c r="D8" s="6">
        <v>9285.5351</v>
      </c>
      <c r="E8" s="6">
        <v>0</v>
      </c>
      <c r="F8" s="6">
        <v>0</v>
      </c>
      <c r="G8" s="6">
        <v>674046</v>
      </c>
      <c r="H8" s="6">
        <v>0</v>
      </c>
      <c r="I8" s="6">
        <v>0</v>
      </c>
      <c r="J8" s="6">
        <v>725975</v>
      </c>
      <c r="K8" s="6">
        <v>790104.5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1"/>
        <v>2199411.0351</v>
      </c>
    </row>
    <row r="9" spans="1:18">
      <c r="A9" s="5" t="s">
        <v>24</v>
      </c>
      <c r="B9" s="5" t="s">
        <v>25</v>
      </c>
      <c r="C9" s="5" t="s">
        <v>30</v>
      </c>
      <c r="D9" s="6">
        <v>7882.1344</v>
      </c>
      <c r="E9" s="6">
        <v>0</v>
      </c>
      <c r="F9" s="6">
        <v>0</v>
      </c>
      <c r="G9" s="6">
        <v>765151.2</v>
      </c>
      <c r="H9" s="6">
        <v>1390714.182</v>
      </c>
      <c r="I9" s="6">
        <v>70.665</v>
      </c>
      <c r="J9" s="6">
        <v>699730</v>
      </c>
      <c r="K9" s="6">
        <v>876018.5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1"/>
        <v>3739566.6814</v>
      </c>
    </row>
    <row r="10" spans="1:18">
      <c r="A10" s="5" t="s">
        <v>24</v>
      </c>
      <c r="B10" s="5" t="s">
        <v>25</v>
      </c>
      <c r="C10" s="5" t="s">
        <v>31</v>
      </c>
      <c r="D10" s="6">
        <v>10003.2202</v>
      </c>
      <c r="E10" s="6">
        <v>0</v>
      </c>
      <c r="F10" s="6">
        <v>0</v>
      </c>
      <c r="G10" s="6">
        <v>676972.4</v>
      </c>
      <c r="H10" s="6">
        <v>0</v>
      </c>
      <c r="I10" s="6">
        <v>0</v>
      </c>
      <c r="J10" s="6">
        <v>742133.1</v>
      </c>
      <c r="K10" s="6">
        <v>547317.5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1"/>
        <v>1976426.2202</v>
      </c>
    </row>
    <row r="11" spans="1:18">
      <c r="A11" s="5" t="s">
        <v>24</v>
      </c>
      <c r="B11" s="5" t="s">
        <v>25</v>
      </c>
      <c r="C11" s="5" t="s">
        <v>32</v>
      </c>
      <c r="D11" s="6">
        <v>3886.9812</v>
      </c>
      <c r="E11" s="6">
        <v>0</v>
      </c>
      <c r="F11" s="6">
        <v>0</v>
      </c>
      <c r="G11" s="6">
        <v>291199.2</v>
      </c>
      <c r="H11" s="6">
        <v>0</v>
      </c>
      <c r="I11" s="6">
        <v>397469.4105</v>
      </c>
      <c r="J11" s="6">
        <v>245961.54</v>
      </c>
      <c r="K11" s="6">
        <v>765968.5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1"/>
        <v>1704485.6317</v>
      </c>
    </row>
    <row r="12" spans="1:18">
      <c r="A12" s="5" t="s">
        <v>24</v>
      </c>
      <c r="B12" s="5" t="s">
        <v>25</v>
      </c>
      <c r="C12" s="5" t="s">
        <v>33</v>
      </c>
      <c r="D12" s="6">
        <v>6202.4552</v>
      </c>
      <c r="E12" s="6">
        <v>0</v>
      </c>
      <c r="F12" s="6">
        <v>0</v>
      </c>
      <c r="G12" s="6">
        <v>442096</v>
      </c>
      <c r="H12" s="6">
        <v>471280</v>
      </c>
      <c r="I12" s="6">
        <v>5236.545</v>
      </c>
      <c r="J12" s="6">
        <v>435248.55</v>
      </c>
      <c r="K12" s="6">
        <v>932039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1"/>
        <v>2292102.5502</v>
      </c>
    </row>
    <row r="13" spans="1:18">
      <c r="A13" s="5" t="s">
        <v>24</v>
      </c>
      <c r="B13" s="5" t="s">
        <v>25</v>
      </c>
      <c r="C13" s="5" t="s">
        <v>34</v>
      </c>
      <c r="D13" s="6">
        <v>4102.9298</v>
      </c>
      <c r="E13" s="6">
        <v>0</v>
      </c>
      <c r="F13" s="6">
        <v>0</v>
      </c>
      <c r="G13" s="6">
        <v>373610.8</v>
      </c>
      <c r="H13" s="6">
        <v>0</v>
      </c>
      <c r="I13" s="6">
        <v>10043.5335</v>
      </c>
      <c r="J13" s="6">
        <v>489799.2</v>
      </c>
      <c r="K13" s="6">
        <v>855521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1"/>
        <v>1733077.4633</v>
      </c>
    </row>
    <row r="14" spans="1:18">
      <c r="A14" s="5" t="s">
        <v>24</v>
      </c>
      <c r="B14" s="5" t="s">
        <v>25</v>
      </c>
      <c r="C14" s="5" t="s">
        <v>35</v>
      </c>
      <c r="D14" s="6">
        <v>5086.7959</v>
      </c>
      <c r="E14" s="6">
        <v>0</v>
      </c>
      <c r="F14" s="6">
        <v>0</v>
      </c>
      <c r="G14" s="6">
        <v>351947.6</v>
      </c>
      <c r="H14" s="6">
        <v>0</v>
      </c>
      <c r="I14" s="6">
        <v>0</v>
      </c>
      <c r="J14" s="6">
        <v>740550</v>
      </c>
      <c r="K14" s="6">
        <v>769275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1"/>
        <v>1866859.3959</v>
      </c>
    </row>
    <row r="15" spans="1:18">
      <c r="A15" s="5" t="s">
        <v>24</v>
      </c>
      <c r="B15" s="5" t="s">
        <v>25</v>
      </c>
      <c r="C15" s="5" t="s">
        <v>36</v>
      </c>
      <c r="D15" s="6">
        <v>19095.1208</v>
      </c>
      <c r="E15" s="6">
        <v>0</v>
      </c>
      <c r="F15" s="6">
        <v>0</v>
      </c>
      <c r="G15" s="6">
        <v>1687242.8</v>
      </c>
      <c r="H15" s="6">
        <v>0</v>
      </c>
      <c r="I15" s="6">
        <v>3858.4275</v>
      </c>
      <c r="J15" s="6">
        <v>1737957.65</v>
      </c>
      <c r="K15" s="6">
        <v>2347748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1"/>
        <v>5795901.9983</v>
      </c>
    </row>
    <row r="16" spans="1:18">
      <c r="A16" s="5" t="s">
        <v>24</v>
      </c>
      <c r="B16" s="5" t="s">
        <v>25</v>
      </c>
      <c r="C16" s="5" t="s">
        <v>37</v>
      </c>
      <c r="D16" s="6">
        <v>2628.2338</v>
      </c>
      <c r="E16" s="6">
        <v>0</v>
      </c>
      <c r="F16" s="6">
        <v>0</v>
      </c>
      <c r="G16" s="6">
        <v>282966.8</v>
      </c>
      <c r="H16" s="6">
        <v>471280</v>
      </c>
      <c r="I16" s="6">
        <v>8734.749</v>
      </c>
      <c r="J16" s="6">
        <v>221482.8</v>
      </c>
      <c r="K16" s="6">
        <v>270797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1"/>
        <v>1257889.5828</v>
      </c>
    </row>
    <row r="17" spans="1:18">
      <c r="A17" s="5" t="s">
        <v>24</v>
      </c>
      <c r="B17" s="5" t="s">
        <v>25</v>
      </c>
      <c r="C17" s="5" t="s">
        <v>38</v>
      </c>
      <c r="D17" s="6">
        <v>57.8994</v>
      </c>
      <c r="E17" s="6">
        <v>0</v>
      </c>
      <c r="F17" s="6">
        <v>0</v>
      </c>
      <c r="G17" s="6">
        <v>0</v>
      </c>
      <c r="H17" s="6">
        <v>0</v>
      </c>
      <c r="I17" s="6">
        <v>307177.014</v>
      </c>
      <c r="J17" s="6">
        <v>0</v>
      </c>
      <c r="K17" s="6">
        <v>78190.5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1"/>
        <v>385425.4134</v>
      </c>
    </row>
    <row r="18" spans="1:18">
      <c r="A18" s="5" t="s">
        <v>24</v>
      </c>
      <c r="B18" s="5" t="s">
        <v>25</v>
      </c>
      <c r="C18" s="5" t="s">
        <v>39</v>
      </c>
      <c r="D18" s="6">
        <v>9748.8865</v>
      </c>
      <c r="E18" s="6">
        <v>0</v>
      </c>
      <c r="F18" s="6">
        <v>0</v>
      </c>
      <c r="G18" s="6">
        <v>1187974.8</v>
      </c>
      <c r="H18" s="6">
        <v>0</v>
      </c>
      <c r="I18" s="6">
        <v>0</v>
      </c>
      <c r="J18" s="6">
        <v>973549.5</v>
      </c>
      <c r="K18" s="6">
        <v>1266624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1"/>
        <v>3437897.1865</v>
      </c>
    </row>
    <row r="19" spans="1:18">
      <c r="A19" s="5" t="s">
        <v>24</v>
      </c>
      <c r="B19" s="5" t="s">
        <v>25</v>
      </c>
      <c r="C19" s="5" t="s">
        <v>40</v>
      </c>
      <c r="D19" s="6">
        <v>3042.9838</v>
      </c>
      <c r="E19" s="6">
        <v>0</v>
      </c>
      <c r="F19" s="6">
        <v>0</v>
      </c>
      <c r="G19" s="6">
        <v>306795.2</v>
      </c>
      <c r="H19" s="6">
        <v>0</v>
      </c>
      <c r="I19" s="6">
        <v>169960.536</v>
      </c>
      <c r="J19" s="6">
        <v>214691.05</v>
      </c>
      <c r="K19" s="6">
        <v>300988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1"/>
        <v>995477.7698</v>
      </c>
    </row>
    <row r="20" spans="1:18">
      <c r="A20" s="5" t="s">
        <v>24</v>
      </c>
      <c r="B20" s="5" t="s">
        <v>25</v>
      </c>
      <c r="C20" s="5" t="s">
        <v>41</v>
      </c>
      <c r="D20" s="6">
        <v>3317.5314</v>
      </c>
      <c r="E20" s="6">
        <v>0</v>
      </c>
      <c r="F20" s="6">
        <v>0</v>
      </c>
      <c r="G20" s="6">
        <v>277264.4</v>
      </c>
      <c r="H20" s="6">
        <v>0</v>
      </c>
      <c r="I20" s="6">
        <v>1661.9415</v>
      </c>
      <c r="J20" s="6">
        <v>398818.2</v>
      </c>
      <c r="K20" s="6">
        <v>374115.5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1"/>
        <v>1055177.5729</v>
      </c>
    </row>
    <row r="21" spans="1:18">
      <c r="A21" s="5" t="s">
        <v>24</v>
      </c>
      <c r="B21" s="5" t="s">
        <v>25</v>
      </c>
      <c r="C21" s="5" t="s">
        <v>42</v>
      </c>
      <c r="D21" s="6">
        <v>8083.8011</v>
      </c>
      <c r="E21" s="6">
        <v>0</v>
      </c>
      <c r="F21" s="6">
        <v>0</v>
      </c>
      <c r="G21" s="6">
        <v>589326</v>
      </c>
      <c r="H21" s="6">
        <v>0</v>
      </c>
      <c r="I21" s="6">
        <v>7.0935</v>
      </c>
      <c r="J21" s="6">
        <v>962075.4</v>
      </c>
      <c r="K21" s="6">
        <v>1051201.5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1"/>
        <v>2610693.7946</v>
      </c>
    </row>
    <row r="22" spans="1:18">
      <c r="A22" s="5" t="s">
        <v>24</v>
      </c>
      <c r="B22" s="5" t="s">
        <v>25</v>
      </c>
      <c r="C22" s="5" t="s">
        <v>43</v>
      </c>
      <c r="D22" s="6">
        <v>15920.9866</v>
      </c>
      <c r="E22" s="6">
        <v>0</v>
      </c>
      <c r="F22" s="6">
        <v>0</v>
      </c>
      <c r="G22" s="6">
        <v>1169629.2</v>
      </c>
      <c r="H22" s="6">
        <v>0</v>
      </c>
      <c r="I22" s="6">
        <v>0</v>
      </c>
      <c r="J22" s="6">
        <v>1510227.9</v>
      </c>
      <c r="K22" s="6">
        <v>1501948.5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1"/>
        <v>4197726.5866</v>
      </c>
    </row>
    <row r="23" spans="1:18">
      <c r="A23" s="5" t="s">
        <v>24</v>
      </c>
      <c r="B23" s="5" t="s">
        <v>25</v>
      </c>
      <c r="C23" s="5" t="s">
        <v>44</v>
      </c>
      <c r="D23" s="6">
        <v>17193.1933</v>
      </c>
      <c r="E23" s="6">
        <v>0</v>
      </c>
      <c r="F23" s="6">
        <v>0</v>
      </c>
      <c r="G23" s="6">
        <v>1733566.4</v>
      </c>
      <c r="H23" s="6">
        <v>0</v>
      </c>
      <c r="I23" s="6">
        <v>0</v>
      </c>
      <c r="J23" s="6">
        <v>771561</v>
      </c>
      <c r="K23" s="6">
        <v>1228401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1"/>
        <v>3750721.5933</v>
      </c>
    </row>
    <row r="24" spans="1:18">
      <c r="A24" s="5" t="s">
        <v>24</v>
      </c>
      <c r="B24" s="5" t="s">
        <v>25</v>
      </c>
      <c r="C24" s="5" t="s">
        <v>45</v>
      </c>
      <c r="D24" s="6">
        <v>13627.9043</v>
      </c>
      <c r="E24" s="6">
        <v>0</v>
      </c>
      <c r="F24" s="6">
        <v>0</v>
      </c>
      <c r="G24" s="6">
        <v>1231485.2</v>
      </c>
      <c r="H24" s="6">
        <v>0</v>
      </c>
      <c r="I24" s="6">
        <v>0</v>
      </c>
      <c r="J24" s="6">
        <v>859956.3</v>
      </c>
      <c r="K24" s="6">
        <v>1009931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1"/>
        <v>3115000.4043</v>
      </c>
    </row>
    <row r="25" spans="1:18">
      <c r="A25" s="5" t="s">
        <v>24</v>
      </c>
      <c r="B25" s="5" t="s">
        <v>25</v>
      </c>
      <c r="C25" s="5" t="s">
        <v>46</v>
      </c>
      <c r="D25" s="6">
        <v>8547.9943</v>
      </c>
      <c r="E25" s="6">
        <v>0</v>
      </c>
      <c r="F25" s="6">
        <v>0</v>
      </c>
      <c r="G25" s="6">
        <v>665658.4</v>
      </c>
      <c r="H25" s="6">
        <v>0</v>
      </c>
      <c r="I25" s="6">
        <v>0</v>
      </c>
      <c r="J25" s="6">
        <v>779666.1</v>
      </c>
      <c r="K25" s="6">
        <v>1208917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1"/>
        <v>2662789.4943</v>
      </c>
    </row>
    <row r="26" spans="1:18">
      <c r="A26" s="5" t="s">
        <v>24</v>
      </c>
      <c r="B26" s="5" t="s">
        <v>25</v>
      </c>
      <c r="C26" s="5" t="s">
        <v>47</v>
      </c>
      <c r="D26" s="6">
        <v>214.3324</v>
      </c>
      <c r="E26" s="6">
        <v>0</v>
      </c>
      <c r="F26" s="6">
        <v>0</v>
      </c>
      <c r="G26" s="6">
        <v>0</v>
      </c>
      <c r="H26" s="6">
        <v>0</v>
      </c>
      <c r="I26" s="6">
        <v>7.467</v>
      </c>
      <c r="J26" s="6">
        <v>0</v>
      </c>
      <c r="K26" s="6">
        <v>281546.5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1"/>
        <v>281768.2994</v>
      </c>
    </row>
    <row r="27" spans="1:18">
      <c r="A27" s="5" t="s">
        <v>24</v>
      </c>
      <c r="B27" s="5" t="s">
        <v>25</v>
      </c>
      <c r="C27" s="5" t="s">
        <v>48</v>
      </c>
      <c r="D27" s="6">
        <v>3437.643</v>
      </c>
      <c r="E27" s="6">
        <v>0</v>
      </c>
      <c r="F27" s="6">
        <v>0</v>
      </c>
      <c r="G27" s="6">
        <v>270902.8</v>
      </c>
      <c r="H27" s="6">
        <v>0</v>
      </c>
      <c r="I27" s="6">
        <v>767.7675</v>
      </c>
      <c r="J27" s="6">
        <v>499910.7</v>
      </c>
      <c r="K27" s="6">
        <v>279030.5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1"/>
        <v>1054049.4105</v>
      </c>
    </row>
    <row r="28" spans="1:18">
      <c r="A28" s="5" t="s">
        <v>24</v>
      </c>
      <c r="B28" s="5" t="s">
        <v>25</v>
      </c>
      <c r="C28" s="5" t="s">
        <v>49</v>
      </c>
      <c r="D28" s="6">
        <v>2198.4968</v>
      </c>
      <c r="E28" s="6">
        <v>0</v>
      </c>
      <c r="F28" s="6">
        <v>0</v>
      </c>
      <c r="G28" s="6">
        <v>178635.6</v>
      </c>
      <c r="H28" s="6">
        <v>0</v>
      </c>
      <c r="I28" s="6">
        <v>3327.1275</v>
      </c>
      <c r="J28" s="6">
        <v>243155.55</v>
      </c>
      <c r="K28" s="6">
        <v>150704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1"/>
        <v>578020.7743</v>
      </c>
    </row>
    <row r="29" spans="1:18">
      <c r="A29" s="5" t="s">
        <v>24</v>
      </c>
      <c r="B29" s="5" t="s">
        <v>25</v>
      </c>
      <c r="C29" s="5" t="s">
        <v>50</v>
      </c>
      <c r="D29" s="6">
        <v>4014.9922</v>
      </c>
      <c r="E29" s="6">
        <v>0</v>
      </c>
      <c r="F29" s="6">
        <v>0</v>
      </c>
      <c r="G29" s="6">
        <v>473765.6</v>
      </c>
      <c r="H29" s="6">
        <v>0</v>
      </c>
      <c r="I29" s="6">
        <v>150.777</v>
      </c>
      <c r="J29" s="6">
        <v>487895.1</v>
      </c>
      <c r="K29" s="6">
        <v>285453.5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1"/>
        <v>1251279.9692</v>
      </c>
    </row>
    <row r="30" spans="1:18">
      <c r="A30" s="5" t="s">
        <v>24</v>
      </c>
      <c r="B30" s="5" t="s">
        <v>25</v>
      </c>
      <c r="C30" s="5" t="s">
        <v>51</v>
      </c>
      <c r="D30" s="6">
        <v>2014.3666</v>
      </c>
      <c r="E30" s="6">
        <v>0</v>
      </c>
      <c r="F30" s="6">
        <v>0</v>
      </c>
      <c r="G30" s="6">
        <v>183092</v>
      </c>
      <c r="H30" s="6">
        <v>0</v>
      </c>
      <c r="I30" s="6">
        <v>1078.2735</v>
      </c>
      <c r="J30" s="6">
        <v>243657.15</v>
      </c>
      <c r="K30" s="6">
        <v>136210.5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1"/>
        <v>566052.2901</v>
      </c>
    </row>
    <row r="31" spans="1:18">
      <c r="A31" s="5" t="s">
        <v>24</v>
      </c>
      <c r="B31" s="5" t="s">
        <v>25</v>
      </c>
      <c r="C31" s="5" t="s">
        <v>52</v>
      </c>
      <c r="D31" s="6">
        <v>6855.7788</v>
      </c>
      <c r="E31" s="6">
        <v>0</v>
      </c>
      <c r="F31" s="6">
        <v>0</v>
      </c>
      <c r="G31" s="6">
        <v>711790</v>
      </c>
      <c r="H31" s="6">
        <v>0</v>
      </c>
      <c r="I31" s="6">
        <v>73.6515</v>
      </c>
      <c r="J31" s="6">
        <v>943016.75</v>
      </c>
      <c r="K31" s="6">
        <v>996242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1"/>
        <v>2657978.1803</v>
      </c>
    </row>
    <row r="32" spans="1:18">
      <c r="A32" s="5" t="s">
        <v>24</v>
      </c>
      <c r="B32" s="5" t="s">
        <v>25</v>
      </c>
      <c r="C32" s="5" t="s">
        <v>53</v>
      </c>
      <c r="D32" s="6">
        <v>18880.1888</v>
      </c>
      <c r="E32" s="6">
        <v>0</v>
      </c>
      <c r="F32" s="6">
        <v>0</v>
      </c>
      <c r="G32" s="6">
        <v>1652481.2</v>
      </c>
      <c r="H32" s="6">
        <v>0</v>
      </c>
      <c r="I32" s="6">
        <v>151.9365</v>
      </c>
      <c r="J32" s="6">
        <v>1513729</v>
      </c>
      <c r="K32" s="6">
        <v>2180678.5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1"/>
        <v>5365920.8253</v>
      </c>
    </row>
    <row r="33" spans="1:18">
      <c r="A33" s="5" t="s">
        <v>24</v>
      </c>
      <c r="B33" s="5" t="s">
        <v>25</v>
      </c>
      <c r="C33" s="5" t="s">
        <v>54</v>
      </c>
      <c r="D33" s="6">
        <v>7371.8989</v>
      </c>
      <c r="E33" s="6">
        <v>0</v>
      </c>
      <c r="F33" s="6">
        <v>0</v>
      </c>
      <c r="G33" s="6">
        <v>535156</v>
      </c>
      <c r="H33" s="6">
        <v>0</v>
      </c>
      <c r="I33" s="6">
        <v>2366.181</v>
      </c>
      <c r="J33" s="6">
        <v>489195.3</v>
      </c>
      <c r="K33" s="6">
        <v>532488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1"/>
        <v>1566577.3799</v>
      </c>
    </row>
    <row r="34" spans="1:18">
      <c r="A34" s="5" t="s">
        <v>24</v>
      </c>
      <c r="B34" s="5" t="s">
        <v>55</v>
      </c>
      <c r="C34" s="5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11.676</v>
      </c>
      <c r="J34" s="6">
        <v>0</v>
      </c>
      <c r="K34" s="6">
        <v>1108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1"/>
        <v>1119.676</v>
      </c>
    </row>
    <row r="35" spans="1:18">
      <c r="A35" s="5" t="s">
        <v>24</v>
      </c>
      <c r="B35" s="5" t="s">
        <v>55</v>
      </c>
      <c r="C35" s="5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9306.674</v>
      </c>
      <c r="I35" s="6">
        <v>13.659</v>
      </c>
      <c r="J35" s="6">
        <v>0</v>
      </c>
      <c r="K35" s="6">
        <v>490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1"/>
        <v>9810.333</v>
      </c>
    </row>
    <row r="36" spans="1:18">
      <c r="A36" s="5" t="s">
        <v>24</v>
      </c>
      <c r="B36" s="5" t="s">
        <v>55</v>
      </c>
      <c r="C36" s="5" t="s">
        <v>58</v>
      </c>
      <c r="D36" s="6">
        <v>0.851</v>
      </c>
      <c r="E36" s="6">
        <v>0</v>
      </c>
      <c r="F36" s="6">
        <v>0</v>
      </c>
      <c r="G36" s="6">
        <v>1415.2</v>
      </c>
      <c r="H36" s="6">
        <v>7041.3849</v>
      </c>
      <c r="I36" s="6">
        <v>1.155</v>
      </c>
      <c r="J36" s="6">
        <v>0</v>
      </c>
      <c r="K36" s="6">
        <v>6089.5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1"/>
        <v>54548.0909</v>
      </c>
    </row>
    <row r="37" spans="1:18">
      <c r="A37" s="5" t="s">
        <v>24</v>
      </c>
      <c r="B37" s="5" t="s">
        <v>55</v>
      </c>
      <c r="C37" s="5" t="s">
        <v>59</v>
      </c>
      <c r="D37" s="6">
        <v>2.2223</v>
      </c>
      <c r="E37" s="6">
        <v>0</v>
      </c>
      <c r="F37" s="6">
        <v>0</v>
      </c>
      <c r="G37" s="6">
        <v>0</v>
      </c>
      <c r="H37" s="6">
        <v>59625</v>
      </c>
      <c r="I37" s="6">
        <v>969.1395</v>
      </c>
      <c r="J37" s="6">
        <v>22870.25</v>
      </c>
      <c r="K37" s="6">
        <v>4920.5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1"/>
        <v>128387.1118</v>
      </c>
    </row>
    <row r="38" spans="1:18">
      <c r="A38" s="5" t="s">
        <v>24</v>
      </c>
      <c r="B38" s="5" t="s">
        <v>55</v>
      </c>
      <c r="C38" s="5" t="s">
        <v>60</v>
      </c>
      <c r="D38" s="6">
        <v>1.4321</v>
      </c>
      <c r="E38" s="6">
        <v>0</v>
      </c>
      <c r="F38" s="6">
        <v>0</v>
      </c>
      <c r="G38" s="6">
        <v>0</v>
      </c>
      <c r="H38" s="6">
        <v>11808.8256</v>
      </c>
      <c r="I38" s="6">
        <v>406.0515</v>
      </c>
      <c r="J38" s="6">
        <v>0</v>
      </c>
      <c r="K38" s="6">
        <v>9027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2">SUM(D38:Q38)</f>
        <v>61243.3092</v>
      </c>
    </row>
    <row r="39" spans="1:18">
      <c r="A39" s="5" t="s">
        <v>24</v>
      </c>
      <c r="B39" s="5" t="s">
        <v>55</v>
      </c>
      <c r="C39" s="5" t="s">
        <v>61</v>
      </c>
      <c r="D39" s="6">
        <v>27.575</v>
      </c>
      <c r="E39" s="6">
        <v>0</v>
      </c>
      <c r="F39" s="6">
        <v>0</v>
      </c>
      <c r="G39" s="6">
        <v>33003.6</v>
      </c>
      <c r="H39" s="6">
        <v>185379.4</v>
      </c>
      <c r="I39" s="6">
        <v>1298.931</v>
      </c>
      <c r="J39" s="6">
        <v>49881</v>
      </c>
      <c r="K39" s="6">
        <v>13825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2"/>
        <v>323415.506</v>
      </c>
    </row>
    <row r="40" spans="1:18">
      <c r="A40" s="5" t="s">
        <v>24</v>
      </c>
      <c r="B40" s="5" t="s">
        <v>55</v>
      </c>
      <c r="C40" s="5" t="s">
        <v>62</v>
      </c>
      <c r="D40" s="6">
        <v>1.9997</v>
      </c>
      <c r="E40" s="6">
        <v>0</v>
      </c>
      <c r="F40" s="6">
        <v>0</v>
      </c>
      <c r="G40" s="6">
        <v>1434.8</v>
      </c>
      <c r="H40" s="6">
        <v>108019.04</v>
      </c>
      <c r="I40" s="6">
        <v>422.8455</v>
      </c>
      <c r="J40" s="6">
        <v>16141.3</v>
      </c>
      <c r="K40" s="6">
        <v>8970.5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42500</v>
      </c>
      <c r="R40" s="7">
        <f t="shared" si="2"/>
        <v>177490.4852</v>
      </c>
    </row>
    <row r="41" spans="1:18">
      <c r="A41" s="5" t="s">
        <v>24</v>
      </c>
      <c r="B41" s="5" t="s">
        <v>55</v>
      </c>
      <c r="C41" s="5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2"/>
        <v>0</v>
      </c>
    </row>
    <row r="42" spans="1:18">
      <c r="A42" s="5" t="s">
        <v>24</v>
      </c>
      <c r="B42" s="5" t="s">
        <v>64</v>
      </c>
      <c r="C42" s="5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1054.8705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2"/>
        <v>81054.8705</v>
      </c>
    </row>
    <row r="43" spans="1:18">
      <c r="A43" s="5" t="s">
        <v>24</v>
      </c>
      <c r="B43" s="5" t="s">
        <v>66</v>
      </c>
      <c r="C43" s="5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58973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2"/>
        <v>58973</v>
      </c>
    </row>
    <row r="44" spans="1:18">
      <c r="A44" s="5" t="s">
        <v>24</v>
      </c>
      <c r="B44" s="5" t="s">
        <v>66</v>
      </c>
      <c r="C44" s="5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734667.84</v>
      </c>
      <c r="I44" s="6">
        <v>1677.2985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2"/>
        <v>736345.1385</v>
      </c>
    </row>
    <row r="45" spans="1:18">
      <c r="A45" s="5" t="s">
        <v>24</v>
      </c>
      <c r="B45" s="5" t="s">
        <v>66</v>
      </c>
      <c r="C45" s="5" t="s">
        <v>69</v>
      </c>
      <c r="D45" s="6">
        <v>0</v>
      </c>
      <c r="E45" s="6">
        <v>0</v>
      </c>
      <c r="F45" s="6">
        <v>0</v>
      </c>
      <c r="G45" s="6">
        <v>0</v>
      </c>
      <c r="H45" s="6">
        <v>223777.35</v>
      </c>
      <c r="I45" s="6">
        <v>1957.6095</v>
      </c>
      <c r="J45" s="6">
        <v>0</v>
      </c>
      <c r="K45" s="6">
        <v>340161.5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2"/>
        <v>565896.4595</v>
      </c>
    </row>
    <row r="46" spans="1:18">
      <c r="A46" s="5" t="s">
        <v>24</v>
      </c>
      <c r="B46" s="5" t="s">
        <v>70</v>
      </c>
      <c r="C46" s="5" t="s">
        <v>71</v>
      </c>
      <c r="D46" s="6">
        <v>8210.5952</v>
      </c>
      <c r="E46" s="6">
        <v>0</v>
      </c>
      <c r="F46" s="6">
        <v>0</v>
      </c>
      <c r="G46" s="6">
        <v>756248.4</v>
      </c>
      <c r="H46" s="6">
        <v>4186361.4</v>
      </c>
      <c r="I46" s="6">
        <v>20574.03</v>
      </c>
      <c r="J46" s="6">
        <v>456520.25</v>
      </c>
      <c r="K46" s="6">
        <v>1617020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2"/>
        <v>7044934.6752</v>
      </c>
    </row>
    <row r="47" spans="1:18">
      <c r="A47" s="5" t="s">
        <v>24</v>
      </c>
      <c r="B47" s="5" t="s">
        <v>70</v>
      </c>
      <c r="C47" s="5" t="s">
        <v>72</v>
      </c>
      <c r="D47" s="6">
        <v>381.8124</v>
      </c>
      <c r="E47" s="6">
        <v>0</v>
      </c>
      <c r="F47" s="6">
        <v>0</v>
      </c>
      <c r="G47" s="6">
        <v>0</v>
      </c>
      <c r="H47" s="6">
        <v>155720</v>
      </c>
      <c r="I47" s="6">
        <v>175.371</v>
      </c>
      <c r="J47" s="6">
        <v>23312.2</v>
      </c>
      <c r="K47" s="6">
        <v>48778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2"/>
        <v>228367.3834</v>
      </c>
    </row>
    <row r="48" spans="1:18">
      <c r="A48" s="5" t="s">
        <v>24</v>
      </c>
      <c r="B48" s="5" t="s">
        <v>70</v>
      </c>
      <c r="C48" s="5" t="s">
        <v>73</v>
      </c>
      <c r="D48" s="6">
        <v>478.9223</v>
      </c>
      <c r="E48" s="6">
        <v>0</v>
      </c>
      <c r="F48" s="6">
        <v>0</v>
      </c>
      <c r="G48" s="6">
        <v>0</v>
      </c>
      <c r="H48" s="6">
        <v>0</v>
      </c>
      <c r="I48" s="6">
        <v>9477.3105</v>
      </c>
      <c r="J48" s="6">
        <v>173965.2</v>
      </c>
      <c r="K48" s="6">
        <v>576504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2"/>
        <v>760425.4328</v>
      </c>
    </row>
    <row r="49" spans="1:18">
      <c r="A49" s="5" t="s">
        <v>24</v>
      </c>
      <c r="B49" s="5" t="s">
        <v>70</v>
      </c>
      <c r="C49" s="5" t="s">
        <v>74</v>
      </c>
      <c r="D49" s="6">
        <v>6.4414</v>
      </c>
      <c r="E49" s="6">
        <v>0</v>
      </c>
      <c r="F49" s="6">
        <v>0</v>
      </c>
      <c r="G49" s="6">
        <v>0</v>
      </c>
      <c r="H49" s="6">
        <v>78705.9</v>
      </c>
      <c r="I49" s="6">
        <v>3317.928</v>
      </c>
      <c r="J49" s="6">
        <v>2020.53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2"/>
        <v>84050.7994</v>
      </c>
    </row>
    <row r="50" spans="1:18">
      <c r="A50" s="5" t="s">
        <v>24</v>
      </c>
      <c r="B50" s="5" t="s">
        <v>70</v>
      </c>
      <c r="C50" s="5" t="s">
        <v>75</v>
      </c>
      <c r="D50" s="6">
        <v>834.9859</v>
      </c>
      <c r="E50" s="6">
        <v>0</v>
      </c>
      <c r="F50" s="6">
        <v>0</v>
      </c>
      <c r="G50" s="6">
        <v>32102</v>
      </c>
      <c r="H50" s="6">
        <v>626393.088</v>
      </c>
      <c r="I50" s="6">
        <v>9395.1765</v>
      </c>
      <c r="J50" s="6">
        <v>101654.858</v>
      </c>
      <c r="K50" s="6">
        <v>434482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2"/>
        <v>1204862.1084</v>
      </c>
    </row>
    <row r="51" spans="1:18">
      <c r="A51" s="5" t="s">
        <v>24</v>
      </c>
      <c r="B51" s="5" t="s">
        <v>70</v>
      </c>
      <c r="C51" s="5" t="s">
        <v>76</v>
      </c>
      <c r="D51" s="6">
        <v>25.907</v>
      </c>
      <c r="E51" s="6">
        <v>0</v>
      </c>
      <c r="F51" s="6">
        <v>0</v>
      </c>
      <c r="G51" s="6">
        <v>0</v>
      </c>
      <c r="H51" s="6">
        <v>68425</v>
      </c>
      <c r="I51" s="6">
        <v>4141.308</v>
      </c>
      <c r="J51" s="6">
        <v>1754.815</v>
      </c>
      <c r="K51" s="6">
        <v>53979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2"/>
        <v>128326.03</v>
      </c>
    </row>
    <row r="52" spans="1:18">
      <c r="A52" s="5" t="s">
        <v>24</v>
      </c>
      <c r="B52" s="5" t="s">
        <v>70</v>
      </c>
      <c r="C52" s="5" t="s">
        <v>77</v>
      </c>
      <c r="D52" s="6">
        <v>1649.5325</v>
      </c>
      <c r="E52" s="6">
        <v>0</v>
      </c>
      <c r="F52" s="6">
        <v>0</v>
      </c>
      <c r="G52" s="6">
        <v>106578.4</v>
      </c>
      <c r="H52" s="6">
        <v>690695.55</v>
      </c>
      <c r="I52" s="6">
        <v>8270.9415</v>
      </c>
      <c r="J52" s="6">
        <v>135644.2112</v>
      </c>
      <c r="K52" s="6">
        <v>361342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2"/>
        <v>1304180.6352</v>
      </c>
    </row>
    <row r="53" spans="1:18">
      <c r="A53" s="5" t="s">
        <v>24</v>
      </c>
      <c r="B53" s="5" t="s">
        <v>70</v>
      </c>
      <c r="C53" s="5" t="s">
        <v>78</v>
      </c>
      <c r="D53" s="6">
        <v>1176.4866</v>
      </c>
      <c r="E53" s="6">
        <v>0</v>
      </c>
      <c r="F53" s="6">
        <v>0</v>
      </c>
      <c r="G53" s="6">
        <v>84747.6</v>
      </c>
      <c r="H53" s="6">
        <v>459085</v>
      </c>
      <c r="I53" s="6">
        <v>346.38</v>
      </c>
      <c r="J53" s="6">
        <v>87633.68</v>
      </c>
      <c r="K53" s="6">
        <v>116344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2"/>
        <v>749333.1466</v>
      </c>
    </row>
    <row r="54" spans="1:18">
      <c r="A54" s="5" t="s">
        <v>24</v>
      </c>
      <c r="B54" s="5" t="s">
        <v>70</v>
      </c>
      <c r="C54" s="5" t="s">
        <v>79</v>
      </c>
      <c r="D54" s="6">
        <v>28.1244</v>
      </c>
      <c r="E54" s="6">
        <v>0</v>
      </c>
      <c r="F54" s="6">
        <v>0</v>
      </c>
      <c r="G54" s="6">
        <v>0</v>
      </c>
      <c r="H54" s="6">
        <v>110818.75</v>
      </c>
      <c r="I54" s="6">
        <v>4141.998</v>
      </c>
      <c r="J54" s="6">
        <v>4012.0491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2"/>
        <v>119000.9215</v>
      </c>
    </row>
    <row r="55" spans="1:18">
      <c r="A55" s="5" t="s">
        <v>24</v>
      </c>
      <c r="B55" s="5" t="s">
        <v>70</v>
      </c>
      <c r="C55" s="5" t="s">
        <v>80</v>
      </c>
      <c r="D55" s="6">
        <v>122.465</v>
      </c>
      <c r="E55" s="6">
        <v>0</v>
      </c>
      <c r="F55" s="6">
        <v>0</v>
      </c>
      <c r="G55" s="6">
        <v>0</v>
      </c>
      <c r="H55" s="6">
        <v>215024.7</v>
      </c>
      <c r="I55" s="6">
        <v>5347.512</v>
      </c>
      <c r="J55" s="6">
        <v>8190.76</v>
      </c>
      <c r="K55" s="6">
        <v>42400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2"/>
        <v>271085.437</v>
      </c>
    </row>
    <row r="56" spans="1:18">
      <c r="A56" s="5" t="s">
        <v>24</v>
      </c>
      <c r="B56" s="5" t="s">
        <v>70</v>
      </c>
      <c r="C56" s="5" t="s">
        <v>81</v>
      </c>
      <c r="D56" s="6">
        <v>12.3199</v>
      </c>
      <c r="E56" s="6">
        <v>0</v>
      </c>
      <c r="F56" s="6">
        <v>0</v>
      </c>
      <c r="G56" s="6">
        <v>0</v>
      </c>
      <c r="H56" s="6">
        <v>60186.7</v>
      </c>
      <c r="I56" s="6">
        <v>449.307</v>
      </c>
      <c r="J56" s="6">
        <v>1866.67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2"/>
        <v>62514.9969</v>
      </c>
    </row>
    <row r="57" spans="1:18">
      <c r="A57" s="5" t="s">
        <v>24</v>
      </c>
      <c r="B57" s="5" t="s">
        <v>70</v>
      </c>
      <c r="C57" s="5" t="s">
        <v>82</v>
      </c>
      <c r="D57" s="6">
        <v>45.1969</v>
      </c>
      <c r="E57" s="6">
        <v>0</v>
      </c>
      <c r="F57" s="6">
        <v>0</v>
      </c>
      <c r="G57" s="6">
        <v>0</v>
      </c>
      <c r="H57" s="6">
        <v>116280</v>
      </c>
      <c r="I57" s="6">
        <v>677.148</v>
      </c>
      <c r="J57" s="6">
        <v>4522.515</v>
      </c>
      <c r="K57" s="6">
        <v>16788.5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2"/>
        <v>138313.3599</v>
      </c>
    </row>
    <row r="58" spans="1:18">
      <c r="A58" s="5" t="s">
        <v>24</v>
      </c>
      <c r="B58" s="5" t="s">
        <v>70</v>
      </c>
      <c r="C58" s="5" t="s">
        <v>83</v>
      </c>
      <c r="D58" s="6">
        <v>21.5467</v>
      </c>
      <c r="E58" s="6">
        <v>0</v>
      </c>
      <c r="F58" s="6">
        <v>0</v>
      </c>
      <c r="G58" s="6">
        <v>0</v>
      </c>
      <c r="H58" s="6">
        <v>76538.396</v>
      </c>
      <c r="I58" s="6">
        <v>72.402</v>
      </c>
      <c r="J58" s="6">
        <v>1478.6685</v>
      </c>
      <c r="K58" s="6">
        <v>7497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2"/>
        <v>85608.0132</v>
      </c>
    </row>
    <row r="59" spans="1:18">
      <c r="A59" s="5" t="s">
        <v>24</v>
      </c>
      <c r="B59" s="5" t="s">
        <v>70</v>
      </c>
      <c r="C59" s="5" t="s">
        <v>84</v>
      </c>
      <c r="D59" s="6">
        <v>3458.8788</v>
      </c>
      <c r="E59" s="6">
        <v>0</v>
      </c>
      <c r="F59" s="6">
        <v>0</v>
      </c>
      <c r="G59" s="6">
        <v>394599.6</v>
      </c>
      <c r="H59" s="6">
        <v>71637.2902</v>
      </c>
      <c r="I59" s="6">
        <v>281.319</v>
      </c>
      <c r="J59" s="6">
        <v>0</v>
      </c>
      <c r="K59" s="6">
        <v>733493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2"/>
        <v>1203470.088</v>
      </c>
    </row>
    <row r="60" spans="1:18">
      <c r="A60" s="5" t="s">
        <v>24</v>
      </c>
      <c r="B60" s="5" t="s">
        <v>70</v>
      </c>
      <c r="C60" s="5" t="s">
        <v>85</v>
      </c>
      <c r="D60" s="6">
        <v>1846.3736</v>
      </c>
      <c r="E60" s="6">
        <v>0</v>
      </c>
      <c r="F60" s="6">
        <v>0</v>
      </c>
      <c r="G60" s="6">
        <v>125522.8</v>
      </c>
      <c r="H60" s="6">
        <v>230520</v>
      </c>
      <c r="I60" s="6">
        <v>1957.089</v>
      </c>
      <c r="J60" s="6">
        <v>154891.36</v>
      </c>
      <c r="K60" s="6">
        <v>264672.5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2"/>
        <v>779410.1226</v>
      </c>
    </row>
    <row r="61" spans="1:18">
      <c r="A61" s="5" t="s">
        <v>24</v>
      </c>
      <c r="B61" s="5" t="s">
        <v>70</v>
      </c>
      <c r="C61" s="5" t="s">
        <v>86</v>
      </c>
      <c r="D61" s="6">
        <v>39.8851</v>
      </c>
      <c r="E61" s="6">
        <v>0</v>
      </c>
      <c r="F61" s="6">
        <v>0</v>
      </c>
      <c r="G61" s="6">
        <v>0</v>
      </c>
      <c r="H61" s="6">
        <v>138534.368</v>
      </c>
      <c r="I61" s="6">
        <v>1374.7545</v>
      </c>
      <c r="J61" s="6">
        <v>1750.2051</v>
      </c>
      <c r="K61" s="6">
        <v>28742.5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2"/>
        <v>170441.7127</v>
      </c>
    </row>
    <row r="62" spans="1:18">
      <c r="A62" s="5" t="s">
        <v>24</v>
      </c>
      <c r="B62" s="5" t="s">
        <v>70</v>
      </c>
      <c r="C62" s="5" t="s">
        <v>87</v>
      </c>
      <c r="D62" s="6">
        <v>322.548</v>
      </c>
      <c r="E62" s="6">
        <v>0</v>
      </c>
      <c r="F62" s="6">
        <v>0</v>
      </c>
      <c r="G62" s="6">
        <v>29768</v>
      </c>
      <c r="H62" s="6">
        <v>95517.52</v>
      </c>
      <c r="I62" s="6">
        <v>113284.6185</v>
      </c>
      <c r="J62" s="6">
        <v>26081.05</v>
      </c>
      <c r="K62" s="6">
        <v>46990.5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2"/>
        <v>311964.2365</v>
      </c>
    </row>
    <row r="63" spans="1:18">
      <c r="A63" s="5" t="s">
        <v>24</v>
      </c>
      <c r="B63" s="5" t="s">
        <v>70</v>
      </c>
      <c r="C63" s="5" t="s">
        <v>88</v>
      </c>
      <c r="D63" s="6">
        <v>3478.0819</v>
      </c>
      <c r="E63" s="6">
        <v>0</v>
      </c>
      <c r="F63" s="6">
        <v>0</v>
      </c>
      <c r="G63" s="6">
        <v>295801.2</v>
      </c>
      <c r="H63" s="6">
        <v>758882.5092</v>
      </c>
      <c r="I63" s="6">
        <v>13711.7325</v>
      </c>
      <c r="J63" s="6">
        <v>257005.2697</v>
      </c>
      <c r="K63" s="6">
        <v>721912.5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2"/>
        <v>2050791.2933</v>
      </c>
    </row>
    <row r="64" spans="1:18">
      <c r="A64" s="5" t="s">
        <v>24</v>
      </c>
      <c r="B64" s="5" t="s">
        <v>70</v>
      </c>
      <c r="C64" s="5" t="s">
        <v>89</v>
      </c>
      <c r="D64" s="6">
        <v>78.273</v>
      </c>
      <c r="E64" s="6">
        <v>0</v>
      </c>
      <c r="F64" s="6">
        <v>0</v>
      </c>
      <c r="G64" s="6">
        <v>0</v>
      </c>
      <c r="H64" s="6">
        <v>152496</v>
      </c>
      <c r="I64" s="6">
        <v>1372.779</v>
      </c>
      <c r="J64" s="6">
        <v>3710.847</v>
      </c>
      <c r="K64" s="6">
        <v>17066.5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2"/>
        <v>174724.399</v>
      </c>
    </row>
    <row r="65" spans="1:18">
      <c r="A65" s="5" t="s">
        <v>24</v>
      </c>
      <c r="B65" s="5" t="s">
        <v>70</v>
      </c>
      <c r="C65" s="5" t="s">
        <v>90</v>
      </c>
      <c r="D65" s="6">
        <v>989.6303</v>
      </c>
      <c r="E65" s="6">
        <v>0</v>
      </c>
      <c r="F65" s="6">
        <v>0</v>
      </c>
      <c r="G65" s="6">
        <v>33831.2</v>
      </c>
      <c r="H65" s="6">
        <v>216418.536</v>
      </c>
      <c r="I65" s="6">
        <v>20341.239</v>
      </c>
      <c r="J65" s="6">
        <v>78069.663</v>
      </c>
      <c r="K65" s="6">
        <v>156619.5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2"/>
        <v>506269.7683</v>
      </c>
    </row>
    <row r="66" spans="1:18">
      <c r="A66" s="5" t="s">
        <v>24</v>
      </c>
      <c r="B66" s="5" t="s">
        <v>70</v>
      </c>
      <c r="C66" s="5" t="s">
        <v>91</v>
      </c>
      <c r="D66" s="6">
        <v>54.5854</v>
      </c>
      <c r="E66" s="6">
        <v>0</v>
      </c>
      <c r="F66" s="6">
        <v>0</v>
      </c>
      <c r="G66" s="6">
        <v>9694.8</v>
      </c>
      <c r="H66" s="6">
        <v>42160</v>
      </c>
      <c r="I66" s="6">
        <v>561.87</v>
      </c>
      <c r="J66" s="6">
        <v>7773.04</v>
      </c>
      <c r="K66" s="6">
        <v>20093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2"/>
        <v>80337.2954</v>
      </c>
    </row>
    <row r="67" spans="1:18">
      <c r="A67" s="5" t="s">
        <v>24</v>
      </c>
      <c r="B67" s="5" t="s">
        <v>70</v>
      </c>
      <c r="C67" s="5" t="s">
        <v>92</v>
      </c>
      <c r="D67" s="6">
        <v>142.2203</v>
      </c>
      <c r="E67" s="6">
        <v>0</v>
      </c>
      <c r="F67" s="6">
        <v>0</v>
      </c>
      <c r="G67" s="6">
        <v>0</v>
      </c>
      <c r="H67" s="6">
        <v>112310.7256</v>
      </c>
      <c r="I67" s="6">
        <v>1763.4075</v>
      </c>
      <c r="J67" s="6">
        <v>0</v>
      </c>
      <c r="K67" s="6">
        <v>598387.5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2"/>
        <v>712603.8534</v>
      </c>
    </row>
    <row r="68" spans="1:18">
      <c r="A68" s="5" t="s">
        <v>24</v>
      </c>
      <c r="B68" s="5" t="s">
        <v>70</v>
      </c>
      <c r="C68" s="5" t="s">
        <v>93</v>
      </c>
      <c r="D68" s="6">
        <v>1689.58</v>
      </c>
      <c r="E68" s="6">
        <v>0</v>
      </c>
      <c r="F68" s="6">
        <v>0</v>
      </c>
      <c r="G68" s="6">
        <v>77646.8</v>
      </c>
      <c r="H68" s="6">
        <v>74779.3014</v>
      </c>
      <c r="I68" s="6">
        <v>4363.5225</v>
      </c>
      <c r="J68" s="6">
        <v>157417.7116</v>
      </c>
      <c r="K68" s="6">
        <v>566650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2"/>
        <v>882546.9155</v>
      </c>
    </row>
    <row r="69" spans="1:18">
      <c r="A69" s="5" t="s">
        <v>24</v>
      </c>
      <c r="B69" s="5" t="s">
        <v>94</v>
      </c>
      <c r="C69" s="5" t="s">
        <v>95</v>
      </c>
      <c r="D69" s="6">
        <v>0.6268</v>
      </c>
      <c r="E69" s="6">
        <v>0</v>
      </c>
      <c r="F69" s="6">
        <v>0</v>
      </c>
      <c r="G69" s="6">
        <v>0</v>
      </c>
      <c r="H69" s="6">
        <v>0</v>
      </c>
      <c r="I69" s="6">
        <v>48604.9605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2"/>
        <v>48605.5873</v>
      </c>
    </row>
    <row r="70" spans="1:18">
      <c r="A70" s="5" t="s">
        <v>24</v>
      </c>
      <c r="B70" s="5" t="s">
        <v>94</v>
      </c>
      <c r="C70" s="5" t="s">
        <v>96</v>
      </c>
      <c r="D70" s="6">
        <v>2.8541</v>
      </c>
      <c r="E70" s="6">
        <v>0</v>
      </c>
      <c r="F70" s="6">
        <v>0</v>
      </c>
      <c r="G70" s="6">
        <v>3749.2</v>
      </c>
      <c r="H70" s="6">
        <v>0</v>
      </c>
      <c r="I70" s="6">
        <v>0</v>
      </c>
      <c r="J70" s="6">
        <v>8984.9104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3">SUM(D70:Q70)</f>
        <v>12736.9645</v>
      </c>
    </row>
    <row r="71" spans="1:18">
      <c r="A71" s="5" t="s">
        <v>24</v>
      </c>
      <c r="B71" s="5" t="s">
        <v>94</v>
      </c>
      <c r="C71" s="5" t="s">
        <v>97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4599.717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3"/>
        <v>4599.717</v>
      </c>
    </row>
    <row r="72" spans="1:18">
      <c r="A72" s="5" t="s">
        <v>24</v>
      </c>
      <c r="B72" s="5" t="s">
        <v>94</v>
      </c>
      <c r="C72" s="5" t="s">
        <v>98</v>
      </c>
      <c r="D72" s="6">
        <v>0.3881</v>
      </c>
      <c r="E72" s="6">
        <v>0</v>
      </c>
      <c r="F72" s="6">
        <v>0</v>
      </c>
      <c r="G72" s="6">
        <v>0</v>
      </c>
      <c r="H72" s="6">
        <v>0</v>
      </c>
      <c r="I72" s="6">
        <v>10093.9005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3"/>
        <v>10094.2886</v>
      </c>
    </row>
    <row r="73" spans="1:18">
      <c r="A73" s="5" t="s">
        <v>24</v>
      </c>
      <c r="B73" s="5" t="s">
        <v>94</v>
      </c>
      <c r="C73" s="5" t="s">
        <v>99</v>
      </c>
      <c r="D73" s="6">
        <v>0.2135</v>
      </c>
      <c r="E73" s="6">
        <v>0</v>
      </c>
      <c r="F73" s="6">
        <v>0</v>
      </c>
      <c r="G73" s="6">
        <v>0</v>
      </c>
      <c r="H73" s="6">
        <v>0</v>
      </c>
      <c r="I73" s="6">
        <v>6.9945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3"/>
        <v>7.208</v>
      </c>
    </row>
    <row r="74" spans="1:18">
      <c r="A74" s="5" t="s">
        <v>24</v>
      </c>
      <c r="B74" s="5" t="s">
        <v>94</v>
      </c>
      <c r="C74" s="5" t="s">
        <v>100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295.2525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3"/>
        <v>295.2525</v>
      </c>
    </row>
    <row r="75" spans="1:18">
      <c r="A75" s="5" t="s">
        <v>24</v>
      </c>
      <c r="B75" s="5" t="s">
        <v>94</v>
      </c>
      <c r="C75" s="5" t="s">
        <v>101</v>
      </c>
      <c r="D75" s="6">
        <v>9.0786</v>
      </c>
      <c r="E75" s="6">
        <v>0</v>
      </c>
      <c r="F75" s="6">
        <v>0</v>
      </c>
      <c r="G75" s="6">
        <v>7412.8</v>
      </c>
      <c r="H75" s="6">
        <v>0</v>
      </c>
      <c r="I75" s="6">
        <v>1846.236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3"/>
        <v>9268.1146</v>
      </c>
    </row>
    <row r="76" spans="1:18">
      <c r="A76" s="5" t="s">
        <v>24</v>
      </c>
      <c r="B76" s="5" t="s">
        <v>94</v>
      </c>
      <c r="C76" s="5" t="s">
        <v>102</v>
      </c>
      <c r="D76" s="6">
        <v>0</v>
      </c>
      <c r="E76" s="6">
        <v>7.776</v>
      </c>
      <c r="F76" s="6">
        <v>0</v>
      </c>
      <c r="G76" s="6">
        <v>0</v>
      </c>
      <c r="H76" s="6">
        <v>0</v>
      </c>
      <c r="I76" s="6">
        <v>115.1655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3"/>
        <v>122.9415</v>
      </c>
    </row>
    <row r="77" spans="1:18">
      <c r="A77" s="5" t="s">
        <v>24</v>
      </c>
      <c r="B77" s="5" t="s">
        <v>94</v>
      </c>
      <c r="C77" s="5" t="s">
        <v>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17277.447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3"/>
        <v>17277.447</v>
      </c>
    </row>
    <row r="78" spans="1:18">
      <c r="A78" s="5" t="s">
        <v>24</v>
      </c>
      <c r="B78" s="5" t="s">
        <v>94</v>
      </c>
      <c r="C78" s="5" t="s">
        <v>104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9127.5345</v>
      </c>
      <c r="J78" s="6">
        <v>4113.222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3"/>
        <v>13240.7565</v>
      </c>
    </row>
    <row r="79" spans="1:18">
      <c r="A79" s="5" t="s">
        <v>24</v>
      </c>
      <c r="B79" s="5" t="s">
        <v>94</v>
      </c>
      <c r="C79" s="5" t="s">
        <v>105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2369.9565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3"/>
        <v>2369.9565</v>
      </c>
    </row>
    <row r="80" spans="1:18">
      <c r="A80" s="5" t="s">
        <v>24</v>
      </c>
      <c r="B80" s="5" t="s">
        <v>94</v>
      </c>
      <c r="C80" s="5" t="s">
        <v>106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91.1295</v>
      </c>
      <c r="J80" s="6">
        <v>19918.5508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3"/>
        <v>20009.6803</v>
      </c>
    </row>
    <row r="81" spans="1:18">
      <c r="A81" s="5" t="s">
        <v>24</v>
      </c>
      <c r="B81" s="5" t="s">
        <v>94</v>
      </c>
      <c r="C81" s="5" t="s">
        <v>107</v>
      </c>
      <c r="D81" s="6">
        <v>0.2682</v>
      </c>
      <c r="E81" s="6">
        <v>0</v>
      </c>
      <c r="F81" s="6">
        <v>0</v>
      </c>
      <c r="G81" s="6">
        <v>0</v>
      </c>
      <c r="H81" s="6">
        <v>0</v>
      </c>
      <c r="I81" s="6">
        <v>306.7635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3"/>
        <v>307.0317</v>
      </c>
    </row>
    <row r="82" spans="1:18">
      <c r="A82" s="5" t="s">
        <v>24</v>
      </c>
      <c r="B82" s="5" t="s">
        <v>94</v>
      </c>
      <c r="C82" s="5" t="s">
        <v>108</v>
      </c>
      <c r="D82" s="6">
        <v>0.7283</v>
      </c>
      <c r="E82" s="6">
        <v>0</v>
      </c>
      <c r="F82" s="6">
        <v>0</v>
      </c>
      <c r="G82" s="6">
        <v>0</v>
      </c>
      <c r="H82" s="6">
        <v>0</v>
      </c>
      <c r="I82" s="6">
        <v>52273.2075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3"/>
        <v>52273.9358</v>
      </c>
    </row>
    <row r="83" spans="1:18">
      <c r="A83" s="5" t="s">
        <v>24</v>
      </c>
      <c r="B83" s="5" t="s">
        <v>94</v>
      </c>
      <c r="C83" s="5" t="s">
        <v>109</v>
      </c>
      <c r="D83" s="6">
        <v>1.3612</v>
      </c>
      <c r="E83" s="6">
        <v>120.4762</v>
      </c>
      <c r="F83" s="6">
        <v>0</v>
      </c>
      <c r="G83" s="6">
        <v>773.6</v>
      </c>
      <c r="H83" s="6">
        <v>0</v>
      </c>
      <c r="I83" s="6">
        <v>19177.881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3"/>
        <v>20073.3184</v>
      </c>
    </row>
    <row r="84" spans="1:18">
      <c r="A84" s="5" t="s">
        <v>24</v>
      </c>
      <c r="B84" s="5" t="s">
        <v>94</v>
      </c>
      <c r="C84" s="5" t="s">
        <v>110</v>
      </c>
      <c r="D84" s="6">
        <v>1.0339</v>
      </c>
      <c r="E84" s="6">
        <v>67.7376</v>
      </c>
      <c r="F84" s="6">
        <v>0</v>
      </c>
      <c r="G84" s="6">
        <v>0</v>
      </c>
      <c r="H84" s="6">
        <v>0</v>
      </c>
      <c r="I84" s="6">
        <v>240.243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3"/>
        <v>309.0145</v>
      </c>
    </row>
    <row r="85" spans="1:18">
      <c r="A85" s="5" t="s">
        <v>24</v>
      </c>
      <c r="B85" s="5" t="s">
        <v>94</v>
      </c>
      <c r="C85" s="5" t="s">
        <v>111</v>
      </c>
      <c r="D85" s="6">
        <v>0.2333</v>
      </c>
      <c r="E85" s="6">
        <v>0</v>
      </c>
      <c r="F85" s="6">
        <v>0</v>
      </c>
      <c r="G85" s="6">
        <v>0</v>
      </c>
      <c r="H85" s="6">
        <v>0</v>
      </c>
      <c r="I85" s="6">
        <v>315.153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3"/>
        <v>315.3863</v>
      </c>
    </row>
    <row r="86" spans="1:18">
      <c r="A86" s="5" t="s">
        <v>24</v>
      </c>
      <c r="B86" s="5" t="s">
        <v>94</v>
      </c>
      <c r="C86" s="5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74.6295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3"/>
        <v>74.6295</v>
      </c>
    </row>
    <row r="87" spans="1:18">
      <c r="A87" s="5" t="s">
        <v>24</v>
      </c>
      <c r="B87" s="5" t="s">
        <v>94</v>
      </c>
      <c r="C87" s="5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8.6475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3"/>
        <v>8.6475</v>
      </c>
    </row>
    <row r="88" spans="1:18">
      <c r="A88" s="5" t="s">
        <v>24</v>
      </c>
      <c r="B88" s="5" t="s">
        <v>94</v>
      </c>
      <c r="C88" s="5" t="s">
        <v>114</v>
      </c>
      <c r="D88" s="6">
        <v>1.9379</v>
      </c>
      <c r="E88" s="6">
        <v>0</v>
      </c>
      <c r="F88" s="6">
        <v>0</v>
      </c>
      <c r="G88" s="6">
        <v>2200</v>
      </c>
      <c r="H88" s="6">
        <v>0</v>
      </c>
      <c r="I88" s="6">
        <v>457.4865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3"/>
        <v>2659.4244</v>
      </c>
    </row>
    <row r="89" spans="1:18">
      <c r="A89" s="5" t="s">
        <v>24</v>
      </c>
      <c r="B89" s="5" t="s">
        <v>94</v>
      </c>
      <c r="C89" s="5" t="s">
        <v>115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9307.7805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3"/>
        <v>9307.7805</v>
      </c>
    </row>
    <row r="90" spans="1:18">
      <c r="A90" s="5" t="s">
        <v>24</v>
      </c>
      <c r="B90" s="5" t="s">
        <v>94</v>
      </c>
      <c r="C90" s="5" t="s">
        <v>116</v>
      </c>
      <c r="D90" s="6">
        <v>2.3689</v>
      </c>
      <c r="E90" s="6">
        <v>0</v>
      </c>
      <c r="F90" s="6">
        <v>0</v>
      </c>
      <c r="G90" s="6">
        <v>0</v>
      </c>
      <c r="H90" s="6">
        <v>0</v>
      </c>
      <c r="I90" s="6">
        <v>8564.133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3"/>
        <v>8566.5019</v>
      </c>
    </row>
    <row r="91" spans="1:18">
      <c r="A91" s="5" t="s">
        <v>24</v>
      </c>
      <c r="B91" s="5" t="s">
        <v>94</v>
      </c>
      <c r="C91" s="5" t="s">
        <v>117</v>
      </c>
      <c r="D91" s="6">
        <v>0.4556</v>
      </c>
      <c r="E91" s="6">
        <v>0</v>
      </c>
      <c r="F91" s="6">
        <v>0</v>
      </c>
      <c r="G91" s="6">
        <v>0</v>
      </c>
      <c r="H91" s="6">
        <v>0</v>
      </c>
      <c r="I91" s="6">
        <v>217.2435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3"/>
        <v>217.6991</v>
      </c>
    </row>
    <row r="92" spans="1:18">
      <c r="A92" s="5" t="s">
        <v>24</v>
      </c>
      <c r="B92" s="5" t="s">
        <v>94</v>
      </c>
      <c r="C92" s="5" t="s">
        <v>118</v>
      </c>
      <c r="D92" s="6">
        <v>3.0946</v>
      </c>
      <c r="E92" s="6">
        <v>0</v>
      </c>
      <c r="F92" s="6">
        <v>0</v>
      </c>
      <c r="G92" s="6">
        <v>4217.6</v>
      </c>
      <c r="H92" s="6">
        <v>0</v>
      </c>
      <c r="I92" s="6">
        <v>23.874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3"/>
        <v>4244.5686</v>
      </c>
    </row>
    <row r="93" spans="1:18">
      <c r="A93" s="5" t="s">
        <v>24</v>
      </c>
      <c r="B93" s="5" t="s">
        <v>94</v>
      </c>
      <c r="C93" s="5" t="s">
        <v>119</v>
      </c>
      <c r="D93" s="6">
        <v>1.9976</v>
      </c>
      <c r="E93" s="6">
        <v>0</v>
      </c>
      <c r="F93" s="6">
        <v>0</v>
      </c>
      <c r="G93" s="6">
        <v>0</v>
      </c>
      <c r="H93" s="6">
        <v>0</v>
      </c>
      <c r="I93" s="6">
        <v>79301.8155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3"/>
        <v>79303.8131</v>
      </c>
    </row>
    <row r="94" spans="1:18">
      <c r="A94" s="5" t="s">
        <v>24</v>
      </c>
      <c r="B94" s="5" t="s">
        <v>94</v>
      </c>
      <c r="C94" s="5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507.6255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3"/>
        <v>507.6255</v>
      </c>
    </row>
    <row r="95" spans="1:18">
      <c r="A95" s="5" t="s">
        <v>24</v>
      </c>
      <c r="B95" s="5" t="s">
        <v>94</v>
      </c>
      <c r="C95" s="5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174123.663</v>
      </c>
      <c r="J95" s="6">
        <v>34458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3"/>
        <v>208581.663</v>
      </c>
    </row>
    <row r="96" spans="1:18">
      <c r="A96" s="5" t="s">
        <v>24</v>
      </c>
      <c r="B96" s="5" t="s">
        <v>94</v>
      </c>
      <c r="C96" s="5" t="s">
        <v>122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129.8835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3"/>
        <v>129.8835</v>
      </c>
    </row>
    <row r="97" spans="1:18">
      <c r="A97" s="5" t="s">
        <v>24</v>
      </c>
      <c r="B97" s="5" t="s">
        <v>94</v>
      </c>
      <c r="C97" s="5" t="s">
        <v>123</v>
      </c>
      <c r="D97" s="6">
        <v>6.0282</v>
      </c>
      <c r="E97" s="6">
        <v>0</v>
      </c>
      <c r="F97" s="6">
        <v>0</v>
      </c>
      <c r="G97" s="6">
        <v>8665.6</v>
      </c>
      <c r="H97" s="6">
        <v>0</v>
      </c>
      <c r="I97" s="6">
        <v>7657.0695</v>
      </c>
      <c r="J97" s="6">
        <v>25620.34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3"/>
        <v>41949.0377</v>
      </c>
    </row>
    <row r="98" spans="1:18">
      <c r="A98" s="5" t="s">
        <v>24</v>
      </c>
      <c r="B98" s="5" t="s">
        <v>94</v>
      </c>
      <c r="C98" s="5" t="s">
        <v>124</v>
      </c>
      <c r="D98" s="6">
        <v>0.4417</v>
      </c>
      <c r="E98" s="6">
        <v>0</v>
      </c>
      <c r="F98" s="6">
        <v>0</v>
      </c>
      <c r="G98" s="6">
        <v>0</v>
      </c>
      <c r="H98" s="6">
        <v>0</v>
      </c>
      <c r="I98" s="6">
        <v>47370.1695</v>
      </c>
      <c r="J98" s="6">
        <v>17765.0394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3"/>
        <v>65135.6506</v>
      </c>
    </row>
    <row r="99" spans="1:18">
      <c r="A99" s="5" t="s">
        <v>24</v>
      </c>
      <c r="B99" s="5" t="s">
        <v>94</v>
      </c>
      <c r="C99" s="5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47.4555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3"/>
        <v>47.4555</v>
      </c>
    </row>
    <row r="100" spans="1:18">
      <c r="A100" s="5" t="s">
        <v>24</v>
      </c>
      <c r="B100" s="5" t="s">
        <v>94</v>
      </c>
      <c r="C100" s="5" t="s">
        <v>126</v>
      </c>
      <c r="D100" s="6">
        <v>2.4316</v>
      </c>
      <c r="E100" s="6">
        <v>0</v>
      </c>
      <c r="F100" s="6">
        <v>0</v>
      </c>
      <c r="G100" s="6">
        <v>3180.8</v>
      </c>
      <c r="H100" s="6">
        <v>0</v>
      </c>
      <c r="I100" s="6">
        <v>70.0575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3"/>
        <v>3253.2891</v>
      </c>
    </row>
    <row r="101" spans="1:18">
      <c r="A101" s="5" t="s">
        <v>24</v>
      </c>
      <c r="B101" s="5" t="s">
        <v>94</v>
      </c>
      <c r="C101" s="5" t="s">
        <v>127</v>
      </c>
      <c r="D101" s="6">
        <v>3.8538</v>
      </c>
      <c r="E101" s="6">
        <v>0</v>
      </c>
      <c r="F101" s="6">
        <v>0</v>
      </c>
      <c r="G101" s="6">
        <v>5001.2</v>
      </c>
      <c r="H101" s="6">
        <v>0</v>
      </c>
      <c r="I101" s="6">
        <v>410.589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3"/>
        <v>5415.6428</v>
      </c>
    </row>
    <row r="102" spans="1:18">
      <c r="A102" s="5" t="s">
        <v>24</v>
      </c>
      <c r="B102" s="5" t="s">
        <v>94</v>
      </c>
      <c r="C102" s="5" t="s">
        <v>128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69256.407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4">SUM(D102:Q102)</f>
        <v>69256.407</v>
      </c>
    </row>
    <row r="103" spans="1:18">
      <c r="A103" s="5" t="s">
        <v>24</v>
      </c>
      <c r="B103" s="5" t="s">
        <v>94</v>
      </c>
      <c r="C103" s="5" t="s">
        <v>129</v>
      </c>
      <c r="D103" s="6">
        <v>1.7604</v>
      </c>
      <c r="E103" s="6">
        <v>0</v>
      </c>
      <c r="F103" s="6">
        <v>0</v>
      </c>
      <c r="G103" s="6">
        <v>2692.4</v>
      </c>
      <c r="H103" s="6">
        <v>0</v>
      </c>
      <c r="I103" s="6">
        <v>74.8665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4"/>
        <v>2769.0269</v>
      </c>
    </row>
    <row r="104" spans="1:18">
      <c r="A104" s="5" t="s">
        <v>24</v>
      </c>
      <c r="B104" s="5" t="s">
        <v>94</v>
      </c>
      <c r="C104" s="5" t="s">
        <v>130</v>
      </c>
      <c r="D104" s="6">
        <v>10.7593</v>
      </c>
      <c r="E104" s="6">
        <v>0</v>
      </c>
      <c r="F104" s="6">
        <v>0</v>
      </c>
      <c r="G104" s="6">
        <v>11030.8</v>
      </c>
      <c r="H104" s="6">
        <v>0</v>
      </c>
      <c r="I104" s="6">
        <v>104.163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4"/>
        <v>11145.7223</v>
      </c>
    </row>
    <row r="105" spans="1:18">
      <c r="A105" s="5" t="s">
        <v>24</v>
      </c>
      <c r="B105" s="5" t="s">
        <v>94</v>
      </c>
      <c r="C105" s="5" t="s">
        <v>131</v>
      </c>
      <c r="D105" s="6">
        <v>1.5863</v>
      </c>
      <c r="E105" s="6">
        <v>0</v>
      </c>
      <c r="F105" s="6">
        <v>0</v>
      </c>
      <c r="G105" s="6">
        <v>2657.6</v>
      </c>
      <c r="H105" s="6">
        <v>0</v>
      </c>
      <c r="I105" s="6">
        <v>27400.755</v>
      </c>
      <c r="J105" s="6">
        <v>8415.9448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4"/>
        <v>38475.8861</v>
      </c>
    </row>
    <row r="106" spans="1:18">
      <c r="A106" s="5" t="s">
        <v>24</v>
      </c>
      <c r="B106" s="5" t="s">
        <v>94</v>
      </c>
      <c r="C106" s="5" t="s">
        <v>132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1315.521</v>
      </c>
      <c r="J106" s="6">
        <v>16103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4"/>
        <v>17418.521</v>
      </c>
    </row>
    <row r="107" spans="1:18">
      <c r="A107" s="5" t="s">
        <v>24</v>
      </c>
      <c r="B107" s="5" t="s">
        <v>94</v>
      </c>
      <c r="C107" s="5" t="s">
        <v>133</v>
      </c>
      <c r="D107" s="6">
        <v>0.549</v>
      </c>
      <c r="E107" s="6">
        <v>0</v>
      </c>
      <c r="F107" s="6">
        <v>0</v>
      </c>
      <c r="G107" s="6">
        <v>414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4"/>
        <v>414.549</v>
      </c>
    </row>
    <row r="108" spans="1:18">
      <c r="A108" s="5" t="s">
        <v>24</v>
      </c>
      <c r="B108" s="5" t="s">
        <v>94</v>
      </c>
      <c r="C108" s="5" t="s">
        <v>134</v>
      </c>
      <c r="D108" s="6">
        <v>5.0954</v>
      </c>
      <c r="E108" s="6">
        <v>80.28</v>
      </c>
      <c r="F108" s="6">
        <v>0</v>
      </c>
      <c r="G108" s="6">
        <v>4182</v>
      </c>
      <c r="H108" s="6">
        <v>0</v>
      </c>
      <c r="I108" s="6">
        <v>123.7755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4"/>
        <v>4391.1509</v>
      </c>
    </row>
    <row r="109" spans="1:18">
      <c r="A109" s="5" t="s">
        <v>24</v>
      </c>
      <c r="B109" s="5" t="s">
        <v>94</v>
      </c>
      <c r="C109" s="5" t="s">
        <v>135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307.7175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4"/>
        <v>307.7175</v>
      </c>
    </row>
    <row r="110" spans="1:18">
      <c r="A110" s="5" t="s">
        <v>24</v>
      </c>
      <c r="B110" s="5" t="s">
        <v>94</v>
      </c>
      <c r="C110" s="5" t="s">
        <v>136</v>
      </c>
      <c r="D110" s="6">
        <v>0.4889</v>
      </c>
      <c r="E110" s="6">
        <v>0</v>
      </c>
      <c r="F110" s="6">
        <v>0</v>
      </c>
      <c r="G110" s="6">
        <v>0</v>
      </c>
      <c r="H110" s="6">
        <v>0</v>
      </c>
      <c r="I110" s="6">
        <v>26.328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4"/>
        <v>26.8169</v>
      </c>
    </row>
    <row r="111" spans="1:18">
      <c r="A111" s="5" t="s">
        <v>24</v>
      </c>
      <c r="B111" s="5" t="s">
        <v>94</v>
      </c>
      <c r="C111" s="5" t="s">
        <v>137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164.7075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4"/>
        <v>164.7075</v>
      </c>
    </row>
    <row r="112" spans="1:18">
      <c r="A112" s="5" t="s">
        <v>24</v>
      </c>
      <c r="B112" s="5" t="s">
        <v>94</v>
      </c>
      <c r="C112" s="5" t="s">
        <v>138</v>
      </c>
      <c r="D112" s="6">
        <v>1.2128</v>
      </c>
      <c r="E112" s="6">
        <v>0</v>
      </c>
      <c r="F112" s="6">
        <v>0</v>
      </c>
      <c r="G112" s="6">
        <v>1538.4</v>
      </c>
      <c r="H112" s="6">
        <v>0</v>
      </c>
      <c r="I112" s="6">
        <v>44365.914</v>
      </c>
      <c r="J112" s="6">
        <v>7719.5777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4"/>
        <v>53625.1045</v>
      </c>
    </row>
    <row r="113" spans="1:18">
      <c r="A113" s="5" t="s">
        <v>24</v>
      </c>
      <c r="B113" s="5" t="s">
        <v>94</v>
      </c>
      <c r="C113" s="5" t="s">
        <v>139</v>
      </c>
      <c r="D113" s="6">
        <v>0.0806</v>
      </c>
      <c r="E113" s="6">
        <v>0</v>
      </c>
      <c r="F113" s="6">
        <v>0</v>
      </c>
      <c r="G113" s="6">
        <v>0</v>
      </c>
      <c r="H113" s="6">
        <v>0</v>
      </c>
      <c r="I113" s="6">
        <v>57.126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4"/>
        <v>57.2066</v>
      </c>
    </row>
    <row r="114" spans="1:18">
      <c r="A114" s="5" t="s">
        <v>24</v>
      </c>
      <c r="B114" s="5" t="s">
        <v>94</v>
      </c>
      <c r="C114" s="5" t="s">
        <v>140</v>
      </c>
      <c r="D114" s="6">
        <v>4.5864</v>
      </c>
      <c r="E114" s="6">
        <v>0</v>
      </c>
      <c r="F114" s="6">
        <v>0</v>
      </c>
      <c r="G114" s="6">
        <v>0</v>
      </c>
      <c r="H114" s="6">
        <v>0</v>
      </c>
      <c r="I114" s="6">
        <v>64581.033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4"/>
        <v>64585.6194</v>
      </c>
    </row>
    <row r="115" spans="1:18">
      <c r="A115" s="5" t="s">
        <v>24</v>
      </c>
      <c r="B115" s="5" t="s">
        <v>94</v>
      </c>
      <c r="C115" s="5" t="s">
        <v>141</v>
      </c>
      <c r="D115" s="6">
        <v>0.2603</v>
      </c>
      <c r="E115" s="6">
        <v>0</v>
      </c>
      <c r="F115" s="6">
        <v>0</v>
      </c>
      <c r="G115" s="6">
        <v>0</v>
      </c>
      <c r="H115" s="6">
        <v>0</v>
      </c>
      <c r="I115" s="6">
        <v>132.519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4"/>
        <v>132.7793</v>
      </c>
    </row>
    <row r="116" spans="1:18">
      <c r="A116" s="5" t="s">
        <v>24</v>
      </c>
      <c r="B116" s="5" t="s">
        <v>94</v>
      </c>
      <c r="C116" s="5" t="s">
        <v>142</v>
      </c>
      <c r="D116" s="6">
        <v>0.7513</v>
      </c>
      <c r="E116" s="6">
        <v>0</v>
      </c>
      <c r="F116" s="6">
        <v>0</v>
      </c>
      <c r="G116" s="6">
        <v>993.6</v>
      </c>
      <c r="H116" s="6">
        <v>0</v>
      </c>
      <c r="I116" s="6">
        <v>79304.559</v>
      </c>
      <c r="J116" s="6">
        <v>14677.125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4"/>
        <v>94976.0353</v>
      </c>
    </row>
    <row r="117" spans="1:18">
      <c r="A117" s="5" t="s">
        <v>24</v>
      </c>
      <c r="B117" s="5" t="s">
        <v>94</v>
      </c>
      <c r="C117" s="5" t="s">
        <v>143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4"/>
        <v>0</v>
      </c>
    </row>
    <row r="118" spans="1:18">
      <c r="A118" s="5" t="s">
        <v>24</v>
      </c>
      <c r="B118" s="5" t="s">
        <v>94</v>
      </c>
      <c r="C118" s="5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956.7825</v>
      </c>
      <c r="J118" s="6">
        <v>19845.765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4"/>
        <v>20802.5475</v>
      </c>
    </row>
    <row r="119" spans="1:18">
      <c r="A119" s="5" t="s">
        <v>24</v>
      </c>
      <c r="B119" s="5" t="s">
        <v>94</v>
      </c>
      <c r="C119" s="5" t="s">
        <v>145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2127.174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4"/>
        <v>2127.174</v>
      </c>
    </row>
    <row r="120" spans="1:18">
      <c r="A120" s="5" t="s">
        <v>24</v>
      </c>
      <c r="B120" s="5" t="s">
        <v>94</v>
      </c>
      <c r="C120" s="5" t="s">
        <v>146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0.369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4"/>
        <v>0.369</v>
      </c>
    </row>
    <row r="121" spans="1:18">
      <c r="A121" s="5" t="s">
        <v>24</v>
      </c>
      <c r="B121" s="5" t="s">
        <v>94</v>
      </c>
      <c r="C121" s="5" t="s">
        <v>147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40.3965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4"/>
        <v>40.3965</v>
      </c>
    </row>
    <row r="122" spans="1:18">
      <c r="A122" s="5" t="s">
        <v>24</v>
      </c>
      <c r="B122" s="5" t="s">
        <v>94</v>
      </c>
      <c r="C122" s="5" t="s">
        <v>148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77.118</v>
      </c>
      <c r="J122" s="6">
        <v>19914.3081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4"/>
        <v>19991.4261</v>
      </c>
    </row>
    <row r="123" spans="1:18">
      <c r="A123" s="5" t="s">
        <v>24</v>
      </c>
      <c r="B123" s="5" t="s">
        <v>94</v>
      </c>
      <c r="C123" s="5" t="s">
        <v>149</v>
      </c>
      <c r="D123" s="6">
        <v>5.0533</v>
      </c>
      <c r="E123" s="6">
        <v>0</v>
      </c>
      <c r="F123" s="6">
        <v>0</v>
      </c>
      <c r="G123" s="6">
        <v>6562</v>
      </c>
      <c r="H123" s="6">
        <v>0</v>
      </c>
      <c r="I123" s="6">
        <v>32925.615</v>
      </c>
      <c r="J123" s="6">
        <v>5271.975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4"/>
        <v>44764.6433</v>
      </c>
    </row>
    <row r="124" spans="1:18">
      <c r="A124" s="5" t="s">
        <v>24</v>
      </c>
      <c r="B124" s="5" t="s">
        <v>94</v>
      </c>
      <c r="C124" s="5" t="s">
        <v>150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61851.0645</v>
      </c>
      <c r="J124" s="6">
        <v>103037.2668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4"/>
        <v>164888.3313</v>
      </c>
    </row>
    <row r="125" spans="1:18">
      <c r="A125" s="5" t="s">
        <v>24</v>
      </c>
      <c r="B125" s="5" t="s">
        <v>94</v>
      </c>
      <c r="C125" s="5" t="s">
        <v>151</v>
      </c>
      <c r="D125" s="6">
        <v>9.1549</v>
      </c>
      <c r="E125" s="6">
        <v>0</v>
      </c>
      <c r="F125" s="6">
        <v>0</v>
      </c>
      <c r="G125" s="6">
        <v>12946.8</v>
      </c>
      <c r="H125" s="6">
        <v>0</v>
      </c>
      <c r="I125" s="6">
        <v>187250.2965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4"/>
        <v>200206.2514</v>
      </c>
    </row>
    <row r="126" spans="1:18">
      <c r="A126" s="5" t="s">
        <v>24</v>
      </c>
      <c r="B126" s="5" t="s">
        <v>94</v>
      </c>
      <c r="C126" s="5" t="s">
        <v>152</v>
      </c>
      <c r="D126" s="6">
        <v>0.2308</v>
      </c>
      <c r="E126" s="6">
        <v>0</v>
      </c>
      <c r="F126" s="6">
        <v>0</v>
      </c>
      <c r="G126" s="6">
        <v>0</v>
      </c>
      <c r="H126" s="6">
        <v>0</v>
      </c>
      <c r="I126" s="6">
        <v>69.2115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4"/>
        <v>69.4423</v>
      </c>
    </row>
    <row r="127" spans="1:18">
      <c r="A127" s="5" t="s">
        <v>24</v>
      </c>
      <c r="B127" s="5" t="s">
        <v>94</v>
      </c>
      <c r="C127" s="5" t="s">
        <v>153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13.9035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4"/>
        <v>13.9035</v>
      </c>
    </row>
    <row r="128" spans="1:18">
      <c r="A128" s="5" t="s">
        <v>24</v>
      </c>
      <c r="B128" s="5" t="s">
        <v>94</v>
      </c>
      <c r="C128" s="5" t="s">
        <v>154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245.3235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4"/>
        <v>245.3235</v>
      </c>
    </row>
    <row r="129" spans="1:18">
      <c r="A129" s="5" t="s">
        <v>24</v>
      </c>
      <c r="B129" s="5" t="s">
        <v>94</v>
      </c>
      <c r="C129" s="5" t="s">
        <v>155</v>
      </c>
      <c r="D129" s="6">
        <v>3.7006</v>
      </c>
      <c r="E129" s="6">
        <v>0</v>
      </c>
      <c r="F129" s="6">
        <v>0</v>
      </c>
      <c r="G129" s="6">
        <v>4786</v>
      </c>
      <c r="H129" s="6">
        <v>0</v>
      </c>
      <c r="I129" s="6">
        <v>187.227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4"/>
        <v>4976.9276</v>
      </c>
    </row>
    <row r="130" spans="1:18">
      <c r="A130" s="5" t="s">
        <v>24</v>
      </c>
      <c r="B130" s="5" t="s">
        <v>94</v>
      </c>
      <c r="C130" s="5" t="s">
        <v>156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23.124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4"/>
        <v>23.124</v>
      </c>
    </row>
    <row r="131" spans="1:18">
      <c r="A131" s="5" t="s">
        <v>24</v>
      </c>
      <c r="B131" s="5" t="s">
        <v>94</v>
      </c>
      <c r="C131" s="5" t="s">
        <v>157</v>
      </c>
      <c r="D131" s="6">
        <v>1.427</v>
      </c>
      <c r="E131" s="6">
        <v>0</v>
      </c>
      <c r="F131" s="6">
        <v>0</v>
      </c>
      <c r="G131" s="6">
        <v>2678.4</v>
      </c>
      <c r="H131" s="6">
        <v>0</v>
      </c>
      <c r="I131" s="6">
        <v>21175.536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4"/>
        <v>23855.363</v>
      </c>
    </row>
    <row r="132" spans="1:18">
      <c r="A132" s="5" t="s">
        <v>24</v>
      </c>
      <c r="B132" s="5" t="s">
        <v>94</v>
      </c>
      <c r="C132" s="5" t="s">
        <v>158</v>
      </c>
      <c r="D132" s="6">
        <v>0.0964</v>
      </c>
      <c r="E132" s="6">
        <v>0</v>
      </c>
      <c r="F132" s="6">
        <v>0</v>
      </c>
      <c r="G132" s="6">
        <v>0</v>
      </c>
      <c r="H132" s="6">
        <v>0</v>
      </c>
      <c r="I132" s="6">
        <v>2.0775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4"/>
        <v>2.1739</v>
      </c>
    </row>
    <row r="133" spans="1:18">
      <c r="A133" s="5" t="s">
        <v>24</v>
      </c>
      <c r="B133" s="5" t="s">
        <v>94</v>
      </c>
      <c r="C133" s="5" t="s">
        <v>159</v>
      </c>
      <c r="D133" s="6">
        <v>1.543</v>
      </c>
      <c r="E133" s="6">
        <v>0</v>
      </c>
      <c r="F133" s="6">
        <v>0</v>
      </c>
      <c r="G133" s="6">
        <v>2062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4"/>
        <v>2063.543</v>
      </c>
    </row>
    <row r="134" spans="1:18">
      <c r="A134" s="5" t="s">
        <v>24</v>
      </c>
      <c r="B134" s="5" t="s">
        <v>94</v>
      </c>
      <c r="C134" s="5" t="s">
        <v>160</v>
      </c>
      <c r="D134" s="6">
        <v>1.206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65" si="5">SUM(D134:Q134)</f>
        <v>1.206</v>
      </c>
    </row>
    <row r="135" spans="1:18">
      <c r="A135" s="5" t="s">
        <v>24</v>
      </c>
      <c r="B135" s="5" t="s">
        <v>94</v>
      </c>
      <c r="C135" s="5" t="s">
        <v>161</v>
      </c>
      <c r="D135" s="6">
        <v>1.7687</v>
      </c>
      <c r="E135" s="6">
        <v>0</v>
      </c>
      <c r="F135" s="6">
        <v>0</v>
      </c>
      <c r="G135" s="6">
        <v>1943.2</v>
      </c>
      <c r="H135" s="6">
        <v>0</v>
      </c>
      <c r="I135" s="6">
        <v>469.4265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5"/>
        <v>2414.3952</v>
      </c>
    </row>
    <row r="136" spans="1:18">
      <c r="A136" s="5" t="s">
        <v>24</v>
      </c>
      <c r="B136" s="5" t="s">
        <v>94</v>
      </c>
      <c r="C136" s="5" t="s">
        <v>162</v>
      </c>
      <c r="D136" s="6">
        <v>0.2828</v>
      </c>
      <c r="E136" s="6">
        <v>0</v>
      </c>
      <c r="F136" s="6">
        <v>0</v>
      </c>
      <c r="G136" s="6">
        <v>0</v>
      </c>
      <c r="H136" s="6">
        <v>0</v>
      </c>
      <c r="I136" s="6">
        <v>335.0055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5"/>
        <v>335.2883</v>
      </c>
    </row>
    <row r="137" spans="1:18">
      <c r="A137" s="5" t="s">
        <v>24</v>
      </c>
      <c r="B137" s="5" t="s">
        <v>94</v>
      </c>
      <c r="C137" s="5" t="s">
        <v>163</v>
      </c>
      <c r="D137" s="6">
        <v>0.8626</v>
      </c>
      <c r="E137" s="6">
        <v>0</v>
      </c>
      <c r="F137" s="6">
        <v>0</v>
      </c>
      <c r="G137" s="6">
        <v>0</v>
      </c>
      <c r="H137" s="6">
        <v>0</v>
      </c>
      <c r="I137" s="6">
        <v>129.27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5"/>
        <v>130.1326</v>
      </c>
    </row>
    <row r="138" spans="1:18">
      <c r="A138" s="5" t="s">
        <v>24</v>
      </c>
      <c r="B138" s="5" t="s">
        <v>94</v>
      </c>
      <c r="C138" s="5" t="s">
        <v>164</v>
      </c>
      <c r="D138" s="6">
        <v>0.3276</v>
      </c>
      <c r="E138" s="6">
        <v>220.752</v>
      </c>
      <c r="F138" s="6">
        <v>0</v>
      </c>
      <c r="G138" s="6">
        <v>0</v>
      </c>
      <c r="H138" s="6">
        <v>0</v>
      </c>
      <c r="I138" s="6">
        <v>1578.0735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5"/>
        <v>1799.1531</v>
      </c>
    </row>
    <row r="139" spans="1:18">
      <c r="A139" s="5" t="s">
        <v>24</v>
      </c>
      <c r="B139" s="5" t="s">
        <v>94</v>
      </c>
      <c r="C139" s="5" t="s">
        <v>165</v>
      </c>
      <c r="D139" s="6">
        <v>0.2606</v>
      </c>
      <c r="E139" s="6">
        <v>0</v>
      </c>
      <c r="F139" s="6">
        <v>0</v>
      </c>
      <c r="G139" s="6">
        <v>0</v>
      </c>
      <c r="H139" s="6">
        <v>0</v>
      </c>
      <c r="I139" s="6">
        <v>1762.1535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5"/>
        <v>1762.4141</v>
      </c>
    </row>
    <row r="140" spans="1:18">
      <c r="A140" s="5" t="s">
        <v>24</v>
      </c>
      <c r="B140" s="5" t="s">
        <v>94</v>
      </c>
      <c r="C140" s="5" t="s">
        <v>166</v>
      </c>
      <c r="D140" s="6">
        <v>1.9618</v>
      </c>
      <c r="E140" s="6">
        <v>0</v>
      </c>
      <c r="F140" s="6">
        <v>0</v>
      </c>
      <c r="G140" s="6">
        <v>0</v>
      </c>
      <c r="H140" s="6">
        <v>0</v>
      </c>
      <c r="I140" s="6">
        <v>1019.103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5"/>
        <v>1021.0648</v>
      </c>
    </row>
    <row r="141" spans="1:18">
      <c r="A141" s="5" t="s">
        <v>24</v>
      </c>
      <c r="B141" s="5" t="s">
        <v>94</v>
      </c>
      <c r="C141" s="5" t="s">
        <v>167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172.8195</v>
      </c>
      <c r="J141" s="6">
        <v>22324.815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5"/>
        <v>22497.6345</v>
      </c>
    </row>
    <row r="142" spans="1:18">
      <c r="A142" s="5" t="s">
        <v>24</v>
      </c>
      <c r="B142" s="5" t="s">
        <v>94</v>
      </c>
      <c r="C142" s="5" t="s">
        <v>168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5"/>
        <v>0</v>
      </c>
    </row>
    <row r="143" spans="1:18">
      <c r="A143" s="5" t="s">
        <v>24</v>
      </c>
      <c r="B143" s="5" t="s">
        <v>94</v>
      </c>
      <c r="C143" s="5" t="s">
        <v>169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318.9915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5"/>
        <v>318.9915</v>
      </c>
    </row>
    <row r="144" spans="1:18">
      <c r="A144" s="5" t="s">
        <v>24</v>
      </c>
      <c r="B144" s="5" t="s">
        <v>94</v>
      </c>
      <c r="C144" s="5" t="s">
        <v>170</v>
      </c>
      <c r="D144" s="6">
        <v>2.5494</v>
      </c>
      <c r="E144" s="6">
        <v>0</v>
      </c>
      <c r="F144" s="6">
        <v>0</v>
      </c>
      <c r="G144" s="6">
        <v>3262.4</v>
      </c>
      <c r="H144" s="6">
        <v>0</v>
      </c>
      <c r="I144" s="6">
        <v>597.5205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5"/>
        <v>3862.4699</v>
      </c>
    </row>
    <row r="145" spans="1:18">
      <c r="A145" s="5" t="s">
        <v>24</v>
      </c>
      <c r="B145" s="5" t="s">
        <v>94</v>
      </c>
      <c r="C145" s="5" t="s">
        <v>171</v>
      </c>
      <c r="D145" s="6">
        <v>0.6422</v>
      </c>
      <c r="E145" s="6">
        <v>0</v>
      </c>
      <c r="F145" s="6">
        <v>0</v>
      </c>
      <c r="G145" s="6">
        <v>756.4</v>
      </c>
      <c r="H145" s="6">
        <v>0</v>
      </c>
      <c r="I145" s="6">
        <v>318.669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5"/>
        <v>1075.7112</v>
      </c>
    </row>
    <row r="146" spans="1:18">
      <c r="A146" s="5" t="s">
        <v>24</v>
      </c>
      <c r="B146" s="5" t="s">
        <v>94</v>
      </c>
      <c r="C146" s="5" t="s">
        <v>172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252954.4395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5"/>
        <v>252954.4395</v>
      </c>
    </row>
    <row r="147" spans="1:18">
      <c r="A147" s="5" t="s">
        <v>24</v>
      </c>
      <c r="B147" s="5" t="s">
        <v>94</v>
      </c>
      <c r="C147" s="5" t="s">
        <v>173</v>
      </c>
      <c r="D147" s="6">
        <v>3.5435</v>
      </c>
      <c r="E147" s="6">
        <v>0</v>
      </c>
      <c r="F147" s="6">
        <v>0</v>
      </c>
      <c r="G147" s="6">
        <v>4858.4</v>
      </c>
      <c r="H147" s="6">
        <v>0</v>
      </c>
      <c r="I147" s="6">
        <v>3288.9225</v>
      </c>
      <c r="J147" s="6">
        <v>24219.8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5"/>
        <v>32370.666</v>
      </c>
    </row>
    <row r="148" spans="1:18">
      <c r="A148" s="5" t="s">
        <v>24</v>
      </c>
      <c r="B148" s="5" t="s">
        <v>94</v>
      </c>
      <c r="C148" s="5" t="s">
        <v>174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139.6785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5"/>
        <v>139.6785</v>
      </c>
    </row>
    <row r="149" spans="1:18">
      <c r="A149" s="5" t="s">
        <v>24</v>
      </c>
      <c r="B149" s="5" t="s">
        <v>94</v>
      </c>
      <c r="C149" s="5" t="s">
        <v>175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1851.612</v>
      </c>
      <c r="J149" s="6">
        <v>22117.5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5"/>
        <v>23969.112</v>
      </c>
    </row>
    <row r="150" spans="1:18">
      <c r="A150" s="5" t="s">
        <v>24</v>
      </c>
      <c r="B150" s="5" t="s">
        <v>94</v>
      </c>
      <c r="C150" s="5" t="s">
        <v>176</v>
      </c>
      <c r="D150" s="6">
        <v>0.0262</v>
      </c>
      <c r="E150" s="6">
        <v>66.6792</v>
      </c>
      <c r="F150" s="6">
        <v>0</v>
      </c>
      <c r="G150" s="6">
        <v>0</v>
      </c>
      <c r="H150" s="6">
        <v>0</v>
      </c>
      <c r="I150" s="6">
        <v>312.3825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5"/>
        <v>379.0879</v>
      </c>
    </row>
    <row r="151" spans="1:18">
      <c r="A151" s="5" t="s">
        <v>24</v>
      </c>
      <c r="B151" s="5" t="s">
        <v>94</v>
      </c>
      <c r="C151" s="5" t="s">
        <v>177</v>
      </c>
      <c r="D151" s="6">
        <v>3.2202</v>
      </c>
      <c r="E151" s="6">
        <v>0.54</v>
      </c>
      <c r="F151" s="6">
        <v>0</v>
      </c>
      <c r="G151" s="6">
        <v>3934</v>
      </c>
      <c r="H151" s="6">
        <v>0</v>
      </c>
      <c r="I151" s="6">
        <v>698.808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5"/>
        <v>4636.5682</v>
      </c>
    </row>
    <row r="152" spans="1:18">
      <c r="A152" s="5" t="s">
        <v>24</v>
      </c>
      <c r="B152" s="5" t="s">
        <v>94</v>
      </c>
      <c r="C152" s="5" t="s">
        <v>178</v>
      </c>
      <c r="D152" s="6">
        <v>1.6925</v>
      </c>
      <c r="E152" s="6">
        <v>0</v>
      </c>
      <c r="F152" s="6">
        <v>0</v>
      </c>
      <c r="G152" s="6">
        <v>0</v>
      </c>
      <c r="H152" s="6">
        <v>0</v>
      </c>
      <c r="I152" s="6">
        <v>6302.5425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5"/>
        <v>6304.235</v>
      </c>
    </row>
    <row r="153" spans="1:18">
      <c r="A153" s="5" t="s">
        <v>24</v>
      </c>
      <c r="B153" s="5" t="s">
        <v>94</v>
      </c>
      <c r="C153" s="5" t="s">
        <v>179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5"/>
        <v>0</v>
      </c>
    </row>
    <row r="154" spans="1:18">
      <c r="A154" s="5" t="s">
        <v>24</v>
      </c>
      <c r="B154" s="5" t="s">
        <v>180</v>
      </c>
      <c r="C154" s="5" t="s">
        <v>181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231792.015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5"/>
        <v>231792.015</v>
      </c>
    </row>
    <row r="155" spans="1:18">
      <c r="A155" s="5" t="s">
        <v>24</v>
      </c>
      <c r="B155" s="5" t="s">
        <v>180</v>
      </c>
      <c r="C155" s="5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74287.788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5"/>
        <v>74287.788</v>
      </c>
    </row>
    <row r="156" spans="1:18">
      <c r="A156" s="5" t="s">
        <v>24</v>
      </c>
      <c r="B156" s="5" t="s">
        <v>180</v>
      </c>
      <c r="C156" s="5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813.5355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5"/>
        <v>813.5355</v>
      </c>
    </row>
    <row r="157" spans="1:18">
      <c r="A157" s="5" t="s">
        <v>24</v>
      </c>
      <c r="B157" s="5" t="s">
        <v>180</v>
      </c>
      <c r="C157" s="5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50.469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5"/>
        <v>50.469</v>
      </c>
    </row>
    <row r="158" spans="1:18">
      <c r="A158" s="5" t="s">
        <v>24</v>
      </c>
      <c r="B158" s="5" t="s">
        <v>180</v>
      </c>
      <c r="C158" s="5" t="s">
        <v>185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39361.3425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5"/>
        <v>39361.3425</v>
      </c>
    </row>
    <row r="159" spans="1:18">
      <c r="A159" s="5" t="s">
        <v>24</v>
      </c>
      <c r="B159" s="5" t="s">
        <v>180</v>
      </c>
      <c r="C159" s="5" t="s">
        <v>186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611671.9125</v>
      </c>
      <c r="J159" s="6">
        <v>72978.865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5"/>
        <v>684650.7775</v>
      </c>
    </row>
    <row r="160" spans="1:18">
      <c r="A160" s="5" t="s">
        <v>24</v>
      </c>
      <c r="B160" s="5" t="s">
        <v>180</v>
      </c>
      <c r="C160" s="5" t="s">
        <v>187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304552.2195</v>
      </c>
      <c r="J160" s="6">
        <v>100398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5"/>
        <v>404950.2195</v>
      </c>
    </row>
    <row r="161" spans="1:18">
      <c r="A161" s="5" t="s">
        <v>24</v>
      </c>
      <c r="B161" s="5" t="s">
        <v>180</v>
      </c>
      <c r="C161" s="5" t="s">
        <v>188</v>
      </c>
      <c r="D161" s="6">
        <v>0</v>
      </c>
      <c r="E161" s="6">
        <v>1.728</v>
      </c>
      <c r="F161" s="6">
        <v>0</v>
      </c>
      <c r="G161" s="6">
        <v>0</v>
      </c>
      <c r="H161" s="6">
        <v>0</v>
      </c>
      <c r="I161" s="6">
        <v>63520.824</v>
      </c>
      <c r="J161" s="6">
        <v>88590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5"/>
        <v>152112.552</v>
      </c>
    </row>
    <row r="162" spans="1:18">
      <c r="A162" s="5" t="s">
        <v>24</v>
      </c>
      <c r="B162" s="5" t="s">
        <v>180</v>
      </c>
      <c r="C162" s="5" t="s">
        <v>189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14.5425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5"/>
        <v>14.5425</v>
      </c>
    </row>
    <row r="163" spans="1:18">
      <c r="A163" s="5" t="s">
        <v>24</v>
      </c>
      <c r="B163" s="5" t="s">
        <v>180</v>
      </c>
      <c r="C163" s="5" t="s">
        <v>190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601323.9015</v>
      </c>
      <c r="J163" s="6">
        <v>226359.266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5"/>
        <v>827683.1675</v>
      </c>
    </row>
    <row r="164" spans="1:18">
      <c r="A164" s="5" t="s">
        <v>24</v>
      </c>
      <c r="B164" s="5" t="s">
        <v>180</v>
      </c>
      <c r="C164" s="5" t="s">
        <v>191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85323.4125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5"/>
        <v>85323.4125</v>
      </c>
    </row>
    <row r="165" spans="1:18">
      <c r="A165" s="5" t="s">
        <v>24</v>
      </c>
      <c r="B165" s="5" t="s">
        <v>180</v>
      </c>
      <c r="C165" s="5" t="s">
        <v>192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95763.7965</v>
      </c>
      <c r="J165" s="6">
        <v>85818.8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5"/>
        <v>181582.5965</v>
      </c>
    </row>
    <row r="166" spans="1:18">
      <c r="A166" s="5" t="s">
        <v>24</v>
      </c>
      <c r="B166" s="5" t="s">
        <v>180</v>
      </c>
      <c r="C166" s="5" t="s">
        <v>193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130172.0955</v>
      </c>
      <c r="J166" s="6">
        <v>119429.6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ref="R166:R201" si="6">SUM(D166:Q166)</f>
        <v>249601.6955</v>
      </c>
    </row>
    <row r="167" spans="1:18">
      <c r="A167" s="5" t="s">
        <v>24</v>
      </c>
      <c r="B167" s="5" t="s">
        <v>180</v>
      </c>
      <c r="C167" s="5" t="s">
        <v>194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106382.418</v>
      </c>
      <c r="J167" s="6">
        <v>96571.84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6"/>
        <v>202954.258</v>
      </c>
    </row>
    <row r="168" spans="1:18">
      <c r="A168" s="5" t="s">
        <v>24</v>
      </c>
      <c r="B168" s="5" t="s">
        <v>180</v>
      </c>
      <c r="C168" s="5" t="s">
        <v>195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2863.0575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6"/>
        <v>2863.0575</v>
      </c>
    </row>
    <row r="169" spans="1:18">
      <c r="A169" s="5" t="s">
        <v>24</v>
      </c>
      <c r="B169" s="5" t="s">
        <v>180</v>
      </c>
      <c r="C169" s="5" t="s">
        <v>196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142494.519</v>
      </c>
      <c r="J169" s="6">
        <v>239237.703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6"/>
        <v>381732.222</v>
      </c>
    </row>
    <row r="170" spans="1:18">
      <c r="A170" s="5" t="s">
        <v>24</v>
      </c>
      <c r="B170" s="5" t="s">
        <v>180</v>
      </c>
      <c r="C170" s="5" t="s">
        <v>197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175951.1145</v>
      </c>
      <c r="J170" s="6">
        <v>95314.41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6"/>
        <v>271265.5245</v>
      </c>
    </row>
    <row r="171" spans="1:18">
      <c r="A171" s="5" t="s">
        <v>24</v>
      </c>
      <c r="B171" s="5" t="s">
        <v>180</v>
      </c>
      <c r="C171" s="5" t="s">
        <v>198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183264.042</v>
      </c>
      <c r="J171" s="6">
        <v>128464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6"/>
        <v>311728.042</v>
      </c>
    </row>
    <row r="172" spans="1:18">
      <c r="A172" s="5" t="s">
        <v>24</v>
      </c>
      <c r="B172" s="5" t="s">
        <v>180</v>
      </c>
      <c r="C172" s="5" t="s">
        <v>199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23631.0015</v>
      </c>
      <c r="J172" s="6">
        <v>166294.3612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6"/>
        <v>189925.3627</v>
      </c>
    </row>
    <row r="173" spans="1:18">
      <c r="A173" s="5" t="s">
        <v>24</v>
      </c>
      <c r="B173" s="5" t="s">
        <v>200</v>
      </c>
      <c r="C173" s="5" t="s">
        <v>201</v>
      </c>
      <c r="D173" s="6">
        <v>0.531</v>
      </c>
      <c r="E173" s="6">
        <v>27469.9053</v>
      </c>
      <c r="F173" s="6">
        <v>0</v>
      </c>
      <c r="G173" s="6">
        <v>0</v>
      </c>
      <c r="H173" s="6">
        <v>0</v>
      </c>
      <c r="I173" s="6">
        <v>42.8265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6"/>
        <v>27513.2628</v>
      </c>
    </row>
    <row r="174" spans="1:18">
      <c r="A174" s="5" t="s">
        <v>24</v>
      </c>
      <c r="B174" s="5" t="s">
        <v>200</v>
      </c>
      <c r="C174" s="5" t="s">
        <v>202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6"/>
        <v>0</v>
      </c>
    </row>
    <row r="175" spans="1:18">
      <c r="A175" s="5" t="s">
        <v>24</v>
      </c>
      <c r="B175" s="5" t="s">
        <v>200</v>
      </c>
      <c r="C175" s="5" t="s">
        <v>203</v>
      </c>
      <c r="D175" s="6">
        <v>0.4223</v>
      </c>
      <c r="E175" s="6">
        <v>3390.4318</v>
      </c>
      <c r="F175" s="6">
        <v>0</v>
      </c>
      <c r="G175" s="6">
        <v>0</v>
      </c>
      <c r="H175" s="6">
        <v>0</v>
      </c>
      <c r="I175" s="6">
        <v>3.702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6"/>
        <v>3394.5561</v>
      </c>
    </row>
    <row r="176" spans="1:18">
      <c r="A176" s="5" t="s">
        <v>24</v>
      </c>
      <c r="B176" s="5" t="s">
        <v>200</v>
      </c>
      <c r="C176" s="5" t="s">
        <v>204</v>
      </c>
      <c r="D176" s="6">
        <v>4.414</v>
      </c>
      <c r="E176" s="6">
        <v>27022.2605</v>
      </c>
      <c r="F176" s="6">
        <v>0</v>
      </c>
      <c r="G176" s="6">
        <v>0</v>
      </c>
      <c r="H176" s="6">
        <v>0</v>
      </c>
      <c r="I176" s="6">
        <v>69.2925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6"/>
        <v>27095.967</v>
      </c>
    </row>
    <row r="177" spans="1:18">
      <c r="A177" s="5" t="s">
        <v>24</v>
      </c>
      <c r="B177" s="5" t="s">
        <v>200</v>
      </c>
      <c r="C177" s="5" t="s">
        <v>205</v>
      </c>
      <c r="D177" s="6">
        <v>5.4577</v>
      </c>
      <c r="E177" s="6">
        <v>28497.3503</v>
      </c>
      <c r="F177" s="6">
        <v>0</v>
      </c>
      <c r="G177" s="6">
        <v>1293.2</v>
      </c>
      <c r="H177" s="6">
        <v>0</v>
      </c>
      <c r="I177" s="6">
        <v>1.617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6"/>
        <v>29797.625</v>
      </c>
    </row>
    <row r="178" spans="1:18">
      <c r="A178" s="5" t="s">
        <v>24</v>
      </c>
      <c r="B178" s="5" t="s">
        <v>200</v>
      </c>
      <c r="C178" s="5" t="s">
        <v>206</v>
      </c>
      <c r="D178" s="6">
        <v>0</v>
      </c>
      <c r="E178" s="6">
        <v>14161.7506</v>
      </c>
      <c r="F178" s="6">
        <v>0</v>
      </c>
      <c r="G178" s="6">
        <v>0</v>
      </c>
      <c r="H178" s="6">
        <v>0</v>
      </c>
      <c r="I178" s="6">
        <v>62.1735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6"/>
        <v>14223.9241</v>
      </c>
    </row>
    <row r="179" spans="1:18">
      <c r="A179" s="5" t="s">
        <v>24</v>
      </c>
      <c r="B179" s="5" t="s">
        <v>200</v>
      </c>
      <c r="C179" s="5" t="s">
        <v>207</v>
      </c>
      <c r="D179" s="6">
        <v>1.0861</v>
      </c>
      <c r="E179" s="6">
        <v>4885.2871</v>
      </c>
      <c r="F179" s="6">
        <v>0</v>
      </c>
      <c r="G179" s="6">
        <v>0</v>
      </c>
      <c r="H179" s="6">
        <v>0</v>
      </c>
      <c r="I179" s="6">
        <v>12.09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6"/>
        <v>4898.4632</v>
      </c>
    </row>
    <row r="180" spans="1:18">
      <c r="A180" s="5" t="s">
        <v>24</v>
      </c>
      <c r="B180" s="5" t="s">
        <v>200</v>
      </c>
      <c r="C180" s="5" t="s">
        <v>208</v>
      </c>
      <c r="D180" s="6">
        <v>1.2524</v>
      </c>
      <c r="E180" s="6">
        <v>26165.3639</v>
      </c>
      <c r="F180" s="6">
        <v>0</v>
      </c>
      <c r="G180" s="6">
        <v>0</v>
      </c>
      <c r="H180" s="6">
        <v>0</v>
      </c>
      <c r="I180" s="6">
        <v>24.7305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6"/>
        <v>26191.3468</v>
      </c>
    </row>
    <row r="181" spans="1:18">
      <c r="A181" s="5" t="s">
        <v>24</v>
      </c>
      <c r="B181" s="5" t="s">
        <v>200</v>
      </c>
      <c r="C181" s="5" t="s">
        <v>209</v>
      </c>
      <c r="D181" s="6">
        <v>0</v>
      </c>
      <c r="E181" s="6">
        <v>15394.0947</v>
      </c>
      <c r="F181" s="6">
        <v>0</v>
      </c>
      <c r="G181" s="6">
        <v>0</v>
      </c>
      <c r="H181" s="6">
        <v>0</v>
      </c>
      <c r="I181" s="6">
        <v>3.402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6"/>
        <v>15397.4967</v>
      </c>
    </row>
    <row r="182" spans="1:18">
      <c r="A182" s="5" t="s">
        <v>24</v>
      </c>
      <c r="B182" s="5" t="s">
        <v>200</v>
      </c>
      <c r="C182" s="5" t="s">
        <v>210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6"/>
        <v>0</v>
      </c>
    </row>
    <row r="183" spans="1:18">
      <c r="A183" s="5" t="s">
        <v>24</v>
      </c>
      <c r="B183" s="5" t="s">
        <v>200</v>
      </c>
      <c r="C183" s="5" t="s">
        <v>211</v>
      </c>
      <c r="D183" s="6">
        <v>4.9902</v>
      </c>
      <c r="E183" s="6">
        <v>8815.9551</v>
      </c>
      <c r="F183" s="6">
        <v>0</v>
      </c>
      <c r="G183" s="6">
        <v>7085.2</v>
      </c>
      <c r="H183" s="6">
        <v>0</v>
      </c>
      <c r="I183" s="6">
        <v>0.417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6"/>
        <v>15906.5623</v>
      </c>
    </row>
    <row r="184" spans="1:18">
      <c r="A184" s="5" t="s">
        <v>24</v>
      </c>
      <c r="B184" s="5" t="s">
        <v>200</v>
      </c>
      <c r="C184" s="5" t="s">
        <v>212</v>
      </c>
      <c r="D184" s="6">
        <v>0.221</v>
      </c>
      <c r="E184" s="6">
        <v>14486.1396</v>
      </c>
      <c r="F184" s="6">
        <v>0</v>
      </c>
      <c r="G184" s="6">
        <v>0</v>
      </c>
      <c r="H184" s="6">
        <v>0</v>
      </c>
      <c r="I184" s="6">
        <v>37.8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6"/>
        <v>14524.1606</v>
      </c>
    </row>
    <row r="185" spans="1:18">
      <c r="A185" s="5" t="s">
        <v>24</v>
      </c>
      <c r="B185" s="5" t="s">
        <v>200</v>
      </c>
      <c r="C185" s="5" t="s">
        <v>213</v>
      </c>
      <c r="D185" s="6">
        <v>10.9948</v>
      </c>
      <c r="E185" s="6">
        <v>14642.604</v>
      </c>
      <c r="F185" s="6">
        <v>0</v>
      </c>
      <c r="G185" s="6">
        <v>13310.4</v>
      </c>
      <c r="H185" s="6">
        <v>0</v>
      </c>
      <c r="I185" s="6">
        <v>2.805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6"/>
        <v>27966.8038</v>
      </c>
    </row>
    <row r="186" spans="1:18">
      <c r="A186" s="5" t="s">
        <v>24</v>
      </c>
      <c r="B186" s="5" t="s">
        <v>200</v>
      </c>
      <c r="C186" s="5" t="s">
        <v>214</v>
      </c>
      <c r="D186" s="6">
        <v>6.5316</v>
      </c>
      <c r="E186" s="6">
        <v>27068.4038</v>
      </c>
      <c r="F186" s="6">
        <v>0</v>
      </c>
      <c r="G186" s="6">
        <v>4529.6</v>
      </c>
      <c r="H186" s="6">
        <v>0</v>
      </c>
      <c r="I186" s="6">
        <v>327.8895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6"/>
        <v>31932.4249</v>
      </c>
    </row>
    <row r="187" spans="1:18">
      <c r="A187" s="5" t="s">
        <v>24</v>
      </c>
      <c r="B187" s="5" t="s">
        <v>200</v>
      </c>
      <c r="C187" s="5" t="s">
        <v>215</v>
      </c>
      <c r="D187" s="6">
        <v>1.1719</v>
      </c>
      <c r="E187" s="6">
        <v>31837.6042</v>
      </c>
      <c r="F187" s="6">
        <v>0</v>
      </c>
      <c r="G187" s="6">
        <v>0</v>
      </c>
      <c r="H187" s="6">
        <v>0</v>
      </c>
      <c r="I187" s="6">
        <v>0.732</v>
      </c>
      <c r="J187" s="6">
        <v>138.6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6"/>
        <v>31978.1081</v>
      </c>
    </row>
    <row r="188" spans="1:18">
      <c r="A188" s="5" t="s">
        <v>24</v>
      </c>
      <c r="B188" s="5" t="s">
        <v>200</v>
      </c>
      <c r="C188" s="5" t="s">
        <v>216</v>
      </c>
      <c r="D188" s="6">
        <v>1.0969</v>
      </c>
      <c r="E188" s="6">
        <v>29476.3674</v>
      </c>
      <c r="F188" s="6">
        <v>0</v>
      </c>
      <c r="G188" s="6">
        <v>0</v>
      </c>
      <c r="H188" s="6">
        <v>0</v>
      </c>
      <c r="I188" s="6">
        <v>2.4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si="6"/>
        <v>29479.8643</v>
      </c>
    </row>
    <row r="189" spans="1:18">
      <c r="A189" s="5" t="s">
        <v>24</v>
      </c>
      <c r="B189" s="5" t="s">
        <v>200</v>
      </c>
      <c r="C189" s="5" t="s">
        <v>217</v>
      </c>
      <c r="D189" s="6">
        <v>0.3625</v>
      </c>
      <c r="E189" s="6">
        <v>15594.1111</v>
      </c>
      <c r="F189" s="6">
        <v>0</v>
      </c>
      <c r="G189" s="6">
        <v>0</v>
      </c>
      <c r="H189" s="6">
        <v>0</v>
      </c>
      <c r="I189" s="6">
        <v>191.835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7">
        <f t="shared" si="6"/>
        <v>15786.3086</v>
      </c>
    </row>
    <row r="190" spans="1:18">
      <c r="A190" s="5" t="s">
        <v>24</v>
      </c>
      <c r="B190" s="5" t="s">
        <v>200</v>
      </c>
      <c r="C190" s="5" t="s">
        <v>218</v>
      </c>
      <c r="D190" s="6">
        <v>3.5677</v>
      </c>
      <c r="E190" s="6">
        <v>55248.5349</v>
      </c>
      <c r="F190" s="6">
        <v>0</v>
      </c>
      <c r="G190" s="6">
        <v>0</v>
      </c>
      <c r="H190" s="6">
        <v>0</v>
      </c>
      <c r="I190" s="6">
        <v>155.661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7">
        <f t="shared" si="6"/>
        <v>55407.7636</v>
      </c>
    </row>
    <row r="191" spans="1:18">
      <c r="A191" s="5" t="s">
        <v>24</v>
      </c>
      <c r="B191" s="5" t="s">
        <v>200</v>
      </c>
      <c r="C191" s="5" t="s">
        <v>219</v>
      </c>
      <c r="D191" s="6">
        <v>0.3671</v>
      </c>
      <c r="E191" s="6">
        <v>14556.5664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7">
        <f t="shared" si="6"/>
        <v>14556.9335</v>
      </c>
    </row>
    <row r="192" spans="1:18">
      <c r="A192" s="5" t="s">
        <v>24</v>
      </c>
      <c r="B192" s="5" t="s">
        <v>200</v>
      </c>
      <c r="C192" s="5" t="s">
        <v>220</v>
      </c>
      <c r="D192" s="6">
        <v>0</v>
      </c>
      <c r="E192" s="6">
        <v>15807.9274</v>
      </c>
      <c r="F192" s="6">
        <v>0</v>
      </c>
      <c r="G192" s="6">
        <v>0</v>
      </c>
      <c r="H192" s="6">
        <v>0</v>
      </c>
      <c r="I192" s="6">
        <v>10.9695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7">
        <f t="shared" si="6"/>
        <v>15818.8969</v>
      </c>
    </row>
    <row r="193" spans="1:18">
      <c r="A193" s="5" t="s">
        <v>24</v>
      </c>
      <c r="B193" s="5" t="s">
        <v>200</v>
      </c>
      <c r="C193" s="5" t="s">
        <v>221</v>
      </c>
      <c r="D193" s="6">
        <v>2.3699</v>
      </c>
      <c r="E193" s="6">
        <v>42998.2219</v>
      </c>
      <c r="F193" s="6">
        <v>0</v>
      </c>
      <c r="G193" s="6">
        <v>2236.4</v>
      </c>
      <c r="H193" s="6">
        <v>0</v>
      </c>
      <c r="I193" s="6">
        <v>3.489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7">
        <f t="shared" si="6"/>
        <v>45240.4808</v>
      </c>
    </row>
    <row r="194" spans="1:18">
      <c r="A194" s="5" t="s">
        <v>24</v>
      </c>
      <c r="B194" s="5" t="s">
        <v>200</v>
      </c>
      <c r="C194" s="5" t="s">
        <v>222</v>
      </c>
      <c r="D194" s="6">
        <v>0.3787</v>
      </c>
      <c r="E194" s="6">
        <v>14664.7383</v>
      </c>
      <c r="F194" s="6">
        <v>0</v>
      </c>
      <c r="G194" s="6">
        <v>0</v>
      </c>
      <c r="H194" s="6">
        <v>0</v>
      </c>
      <c r="I194" s="6">
        <v>3961.8075</v>
      </c>
      <c r="J194" s="6">
        <v>3882.5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7">
        <f t="shared" si="6"/>
        <v>22509.4245</v>
      </c>
    </row>
    <row r="195" spans="1:18">
      <c r="A195" s="5" t="s">
        <v>24</v>
      </c>
      <c r="B195" s="5" t="s">
        <v>200</v>
      </c>
      <c r="C195" s="5" t="s">
        <v>223</v>
      </c>
      <c r="D195" s="6">
        <v>0.3704</v>
      </c>
      <c r="E195" s="6">
        <v>13719.1594</v>
      </c>
      <c r="F195" s="6">
        <v>0</v>
      </c>
      <c r="G195" s="6">
        <v>0</v>
      </c>
      <c r="H195" s="6">
        <v>0</v>
      </c>
      <c r="I195" s="6">
        <v>5.5815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7">
        <f t="shared" si="6"/>
        <v>13725.1113</v>
      </c>
    </row>
    <row r="196" spans="1:18">
      <c r="A196" s="5" t="s">
        <v>24</v>
      </c>
      <c r="B196" s="5" t="s">
        <v>200</v>
      </c>
      <c r="C196" s="5" t="s">
        <v>224</v>
      </c>
      <c r="D196" s="6">
        <v>22.7754</v>
      </c>
      <c r="E196" s="6">
        <v>56965.2378</v>
      </c>
      <c r="F196" s="6">
        <v>0</v>
      </c>
      <c r="G196" s="6">
        <v>21718.8</v>
      </c>
      <c r="H196" s="6">
        <v>0</v>
      </c>
      <c r="I196" s="6">
        <v>104.526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7">
        <f t="shared" si="6"/>
        <v>78811.3392</v>
      </c>
    </row>
    <row r="197" spans="1:18">
      <c r="A197" s="5" t="s">
        <v>24</v>
      </c>
      <c r="B197" s="5" t="s">
        <v>200</v>
      </c>
      <c r="C197" s="5" t="s">
        <v>225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7">
        <f t="shared" si="6"/>
        <v>0</v>
      </c>
    </row>
    <row r="198" spans="1:18">
      <c r="A198" s="5" t="s">
        <v>24</v>
      </c>
      <c r="B198" s="5" t="s">
        <v>200</v>
      </c>
      <c r="C198" s="5" t="s">
        <v>226</v>
      </c>
      <c r="D198" s="6">
        <v>1.3943</v>
      </c>
      <c r="E198" s="6">
        <v>21577.3545</v>
      </c>
      <c r="F198" s="6">
        <v>0</v>
      </c>
      <c r="G198" s="6">
        <v>0</v>
      </c>
      <c r="H198" s="6">
        <v>0</v>
      </c>
      <c r="I198" s="6">
        <v>10.635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7">
        <f t="shared" si="6"/>
        <v>21589.3838</v>
      </c>
    </row>
    <row r="199" spans="1:18">
      <c r="A199" s="5" t="s">
        <v>24</v>
      </c>
      <c r="B199" s="5" t="s">
        <v>200</v>
      </c>
      <c r="C199" s="5" t="s">
        <v>227</v>
      </c>
      <c r="D199" s="6">
        <v>3.1165</v>
      </c>
      <c r="E199" s="6">
        <v>26243.3429</v>
      </c>
      <c r="F199" s="6">
        <v>0</v>
      </c>
      <c r="G199" s="6">
        <v>0</v>
      </c>
      <c r="H199" s="6">
        <v>0</v>
      </c>
      <c r="I199" s="6">
        <v>275.217</v>
      </c>
      <c r="J199" s="6">
        <v>9934.176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7">
        <f t="shared" si="6"/>
        <v>36455.8524</v>
      </c>
    </row>
    <row r="200" spans="1:18">
      <c r="A200" s="5" t="s">
        <v>24</v>
      </c>
      <c r="B200" s="5" t="s">
        <v>228</v>
      </c>
      <c r="C200" s="5" t="s">
        <v>229</v>
      </c>
      <c r="D200" s="6">
        <v>0</v>
      </c>
      <c r="E200" s="6">
        <v>466839.4732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7">
        <f t="shared" si="6"/>
        <v>466839.4732</v>
      </c>
    </row>
    <row r="201" spans="1:18">
      <c r="A201" s="5" t="s">
        <v>24</v>
      </c>
      <c r="B201" s="5" t="s">
        <v>228</v>
      </c>
      <c r="C201" s="5" t="s">
        <v>230</v>
      </c>
      <c r="D201" s="6">
        <v>0</v>
      </c>
      <c r="E201" s="6">
        <v>2136923.4167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7">
        <f t="shared" si="6"/>
        <v>2136923.4167</v>
      </c>
    </row>
  </sheetData>
  <mergeCells count="1">
    <mergeCell ref="A1:R1"/>
  </mergeCells>
  <pageMargins left="0.699305555555556" right="0.699305555555556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2026-09-01T02:48:33Z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