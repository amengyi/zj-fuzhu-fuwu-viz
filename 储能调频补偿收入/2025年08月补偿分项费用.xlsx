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65"/>
  </bookViews>
  <sheets>
    <sheet name="工作表" sheetId="1" r:id="rId1"/>
  </sheets>
  <calcPr calcId="144525"/>
</workbook>
</file>

<file path=xl/sharedStrings.xml><?xml version="1.0" encoding="utf-8"?>
<sst xmlns="http://schemas.openxmlformats.org/spreadsheetml/2006/main" count="215">
  <si>
    <t>2025年08月补偿分项费用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</si>
  <si>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</si>
  <si>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</si>
  <si>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</si>
  <si>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</si>
  <si>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</si>
  <si>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</si>
  <si>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</si>
  <si>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</si>
  <si>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</si>
  <si>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</si>
  <si>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</si>
  <si>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</si>
  <si>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</si>
  <si>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</si>
  <si>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补偿费用</t>
  </si>
  <si>
    <t>调度</t>
  </si>
  <si>
    <t>类型</t>
  </si>
  <si>
    <t>并网主体</t>
  </si>
  <si>
    <t>补偿费用（元）</t>
  </si>
  <si>
    <t>补偿费用(元)</t>
  </si>
  <si>
    <t>合计（元）</t>
  </si>
  <si>
    <t/>
  </si>
  <si>
    <t>本月汇总</t>
  </si>
  <si>
    <t>浙江省调</t>
  </si>
  <si>
    <t>火电</t>
  </si>
  <si>
    <t>北二厂</t>
  </si>
  <si>
    <t>北仑厂</t>
  </si>
  <si>
    <t>北三厂</t>
  </si>
  <si>
    <t>北四厂</t>
  </si>
  <si>
    <t>苍二厂</t>
  </si>
  <si>
    <t>苍南厂</t>
  </si>
  <si>
    <t>曹娥江</t>
  </si>
  <si>
    <t>长二厂</t>
  </si>
  <si>
    <t>长兴厂</t>
  </si>
  <si>
    <t>大崧厂</t>
  </si>
  <si>
    <t>嘉二厂</t>
  </si>
  <si>
    <t>嘉兴厂</t>
  </si>
  <si>
    <t>巨化厂</t>
  </si>
  <si>
    <t>兰溪厂</t>
  </si>
  <si>
    <t>朗熹电厂</t>
  </si>
  <si>
    <t>朗熹发电厂</t>
  </si>
  <si>
    <t>乐清厂</t>
  </si>
  <si>
    <t>六横厂</t>
  </si>
  <si>
    <t>牛山厂</t>
  </si>
  <si>
    <t>强蛟厂</t>
  </si>
  <si>
    <t>胜龙厂</t>
  </si>
  <si>
    <t>台塑厂</t>
  </si>
  <si>
    <t>台州厂</t>
  </si>
  <si>
    <t>温二厂</t>
  </si>
  <si>
    <t>温州厂</t>
  </si>
  <si>
    <t>温州三厂</t>
  </si>
  <si>
    <t>乌沙山</t>
  </si>
  <si>
    <t>玉环厂</t>
  </si>
  <si>
    <t>招宝山</t>
  </si>
  <si>
    <t>水电</t>
  </si>
  <si>
    <t>丰源厂</t>
  </si>
  <si>
    <t>黄坛口</t>
  </si>
  <si>
    <t>三溪口</t>
  </si>
  <si>
    <t>珊溪厂</t>
  </si>
  <si>
    <t>石水厂</t>
  </si>
  <si>
    <t>滩坑厂</t>
  </si>
  <si>
    <t>乌水厂</t>
  </si>
  <si>
    <t>小溪厂</t>
  </si>
  <si>
    <t>抽水蓄能</t>
  </si>
  <si>
    <t>宁蓄厂</t>
  </si>
  <si>
    <t>核电</t>
  </si>
  <si>
    <t>秦山厂</t>
  </si>
  <si>
    <t>三门厂</t>
  </si>
  <si>
    <t>燃机</t>
  </si>
  <si>
    <t>半燃厂</t>
  </si>
  <si>
    <t>常山厂</t>
  </si>
  <si>
    <t>长燃厂</t>
  </si>
  <si>
    <t>德能厂</t>
  </si>
  <si>
    <t>华舜厂</t>
  </si>
  <si>
    <t>吉能厂</t>
  </si>
  <si>
    <t>江东厂</t>
  </si>
  <si>
    <t>金二厂</t>
  </si>
  <si>
    <t>金燃厂</t>
  </si>
  <si>
    <t>柯城厂</t>
  </si>
  <si>
    <t>蓝天厂</t>
  </si>
  <si>
    <t>龙湾厂</t>
  </si>
  <si>
    <t>龙游厂</t>
  </si>
  <si>
    <t>唐绍厂</t>
  </si>
  <si>
    <t>桐燃厂</t>
  </si>
  <si>
    <t>下沙厂</t>
  </si>
  <si>
    <t>萧燃厂</t>
  </si>
  <si>
    <t>新城厂</t>
  </si>
  <si>
    <t>新泓口</t>
  </si>
  <si>
    <t>浔宝厂</t>
  </si>
  <si>
    <t>220kV镇海发电厂</t>
  </si>
  <si>
    <t>光伏</t>
  </si>
  <si>
    <t>白渔站</t>
  </si>
  <si>
    <t>百益站</t>
  </si>
  <si>
    <t>草荡站</t>
  </si>
  <si>
    <t>潮汐站</t>
  </si>
  <si>
    <t>大呈站</t>
  </si>
  <si>
    <t>大涂站</t>
  </si>
  <si>
    <t>大柘站</t>
  </si>
  <si>
    <t>道太站</t>
  </si>
  <si>
    <t>登步站</t>
  </si>
  <si>
    <t>汾口站</t>
  </si>
  <si>
    <t>风凌站</t>
  </si>
  <si>
    <t>广洋站</t>
  </si>
  <si>
    <t>海韵站</t>
  </si>
  <si>
    <t>亨泰站</t>
  </si>
  <si>
    <t>宏塔站</t>
  </si>
  <si>
    <t>华博站</t>
  </si>
  <si>
    <t>华塘站</t>
  </si>
  <si>
    <t>华洋光伏站</t>
  </si>
  <si>
    <t>汇核站</t>
  </si>
  <si>
    <t>汇能站</t>
  </si>
  <si>
    <t>嘉厂站</t>
  </si>
  <si>
    <t>佳源站</t>
  </si>
  <si>
    <t>江泰站</t>
  </si>
  <si>
    <t>晶科站</t>
  </si>
  <si>
    <t>柯泰站</t>
  </si>
  <si>
    <t>兰晶站</t>
  </si>
  <si>
    <t>乐厂站</t>
  </si>
  <si>
    <t>乐泰站</t>
  </si>
  <si>
    <t>里墅站</t>
  </si>
  <si>
    <t>莲花站</t>
  </si>
  <si>
    <t>莲塘站</t>
  </si>
  <si>
    <t>莲岙站</t>
  </si>
  <si>
    <t>凌光站</t>
  </si>
  <si>
    <t>六厂站</t>
  </si>
  <si>
    <t>龙河站</t>
  </si>
  <si>
    <t>龙翔站</t>
  </si>
  <si>
    <t>吕岗站</t>
  </si>
  <si>
    <t>绿能站</t>
  </si>
  <si>
    <t>宁厂站</t>
  </si>
  <si>
    <t>磐新站</t>
  </si>
  <si>
    <t>青源站</t>
  </si>
  <si>
    <t>清港站</t>
  </si>
  <si>
    <t>秋塘站</t>
  </si>
  <si>
    <t>日升站</t>
  </si>
  <si>
    <t>融源站</t>
  </si>
  <si>
    <t>盛林站</t>
  </si>
  <si>
    <t>舒能站</t>
  </si>
  <si>
    <t>舒奇站</t>
  </si>
  <si>
    <t>舒泰站</t>
  </si>
  <si>
    <t>泰瀚站</t>
  </si>
  <si>
    <t>唐景站</t>
  </si>
  <si>
    <t>唐屿站</t>
  </si>
  <si>
    <t>唐源站</t>
  </si>
  <si>
    <t>唐鳌站</t>
  </si>
  <si>
    <t>桃溪站</t>
  </si>
  <si>
    <t>万市站</t>
  </si>
  <si>
    <t>万投站</t>
  </si>
  <si>
    <t>乌厂站</t>
  </si>
  <si>
    <t>武川站</t>
  </si>
  <si>
    <t>溪仑站</t>
  </si>
  <si>
    <t>夏湖站</t>
  </si>
  <si>
    <t>仙丰站</t>
  </si>
  <si>
    <t>祥晖站</t>
  </si>
  <si>
    <t>向阳站</t>
  </si>
  <si>
    <t>协能站</t>
  </si>
  <si>
    <t>欣埠站</t>
  </si>
  <si>
    <t>雅田站</t>
  </si>
  <si>
    <t>益凌站</t>
  </si>
  <si>
    <t>源凌站</t>
  </si>
  <si>
    <t>正能站</t>
  </si>
  <si>
    <t>中节站</t>
  </si>
  <si>
    <t>岚能站</t>
  </si>
  <si>
    <t>岱涂站</t>
  </si>
  <si>
    <t>瓯泰站</t>
  </si>
  <si>
    <t>蛟禾站</t>
  </si>
  <si>
    <t>风电</t>
  </si>
  <si>
    <t>百花场</t>
  </si>
  <si>
    <t>苍海场</t>
  </si>
  <si>
    <t>鼎峰场</t>
  </si>
  <si>
    <t>干江场</t>
  </si>
  <si>
    <t>海州场</t>
  </si>
  <si>
    <t>禾海场</t>
  </si>
  <si>
    <t>红山场</t>
  </si>
  <si>
    <t>嘉海场</t>
  </si>
  <si>
    <t>龙母场</t>
  </si>
  <si>
    <t>普陀场</t>
  </si>
  <si>
    <t>润海场</t>
  </si>
  <si>
    <t>涂海场</t>
  </si>
  <si>
    <t>维新场</t>
  </si>
  <si>
    <t>象海场</t>
  </si>
  <si>
    <t>鱼海场</t>
  </si>
  <si>
    <t>玉海场</t>
  </si>
  <si>
    <t>岱山场</t>
  </si>
  <si>
    <t>电化学储能</t>
  </si>
  <si>
    <t>长电储能</t>
  </si>
  <si>
    <t>大有储能</t>
  </si>
  <si>
    <t>定海储能</t>
  </si>
  <si>
    <t>丰门储能</t>
  </si>
  <si>
    <t>郭溪储能</t>
  </si>
  <si>
    <t>国宏储能</t>
  </si>
  <si>
    <t>杭临储能</t>
  </si>
  <si>
    <t>恒新储能</t>
  </si>
  <si>
    <t>江电储能</t>
  </si>
  <si>
    <t>晶网储能</t>
  </si>
  <si>
    <t>京能储能</t>
  </si>
  <si>
    <t>柯林储能</t>
  </si>
  <si>
    <t>蓝电储能</t>
  </si>
  <si>
    <t>利星储能</t>
  </si>
  <si>
    <t>绿建储能</t>
  </si>
  <si>
    <t>启泰储能</t>
  </si>
  <si>
    <t>泉电储能</t>
  </si>
  <si>
    <t>日昇储能</t>
  </si>
  <si>
    <t>顺发储能</t>
  </si>
  <si>
    <t>万义储能</t>
  </si>
  <si>
    <t>萧电储能</t>
  </si>
  <si>
    <t>萧开储能</t>
  </si>
  <si>
    <t>欣元储能</t>
  </si>
  <si>
    <t>新亭储能</t>
  </si>
  <si>
    <t>星兰储能</t>
  </si>
  <si>
    <t>剡中储能</t>
  </si>
  <si>
    <t>虚拟电厂</t>
  </si>
  <si>
    <t>华能浙江能源聚合中心</t>
  </si>
  <si>
    <t>浙能虚拟能源聚合中心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</si>
</sst>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0" fillId="15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0" fillId="18" borderId="10" applyNumberFormat="0" applyAlignment="0" applyProtection="0">
      <alignment vertical="center"/>
    </xf>
    <xf numFmtId="0" fontId="11" fillId="18" borderId="5" applyNumberFormat="0" applyAlignment="0" applyProtection="0">
      <alignment vertical="center"/>
    </xf>
    <xf numFmtId="0" fontId="7" fillId="9" borderId="4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5"/>
  <sheetViews>
    <sheetView tabSelected="1" topLeftCell="F1" workbookViewId="0">
      <selection activeCell="D4" sqref="D4:Q4"/>
    </sheetView>
  </sheetViews>
  <sheetFormatPr defaultColWidth="11" defaultRowHeight="14.25"/>
  <cols>
    <col min="2" max="2" width="8.5" style="1"/>
    <col min="3" max="3" width="14.1916666666667" customWidth="1"/>
    <col min="4" max="4" width="17.625" customWidth="1"/>
    <col min="5" max="5" width="18.1916666666667" customWidth="1"/>
    <col min="6" max="6" width="17.125" customWidth="1"/>
    <col min="7" max="7" width="16.3166666666667" style="2" customWidth="1"/>
    <col min="8" max="8" width="15.3166666666667" customWidth="1"/>
    <col min="9" max="10" width="16.3166666666667" customWidth="1"/>
    <col min="11" max="11" width="23.1916666666667" customWidth="1"/>
    <col min="12" max="12" width="19" customWidth="1"/>
    <col min="14" max="14" width="17.75" customWidth="1"/>
    <col min="15" max="15" width="18.125" customWidth="1"/>
    <col min="16" max="16" width="18.5666666666667" customWidth="1"/>
    <col min="17" max="17" width="16.3166666666667" customWidth="1"/>
    <col min="18" max="18" width="12.625"/>
  </cols>
  <sheetData>
    <row r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="1" customFormat="1" spans="1:18">
      <c r="A2" s="4"/>
      <c r="B2" s="4"/>
      <c r="C2" s="4"/>
      <c r="D2" s="5" t="s">
        <v>1</v>
      </c>
      <c r="E2" s="5" t="s">
        <v>2</v>
      </c>
      <c r="F2" s="5" t="s">
        <v>3</v>
      </c>
      <c r="G2" s="4" t="s">
        <v>4</v>
      </c>
      <c r="H2" s="5" t="s">
        <v>5</v>
      </c>
      <c r="I2" s="4" t="s">
        <v>6</v>
      </c>
      <c r="J2" s="5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</row>
    <row r="3" s="1" customFormat="1" spans="1:18">
      <c r="A3" s="3" t="s">
        <v>16</v>
      </c>
      <c r="B3" s="3" t="s">
        <v>17</v>
      </c>
      <c r="C3" s="6" t="s">
        <v>18</v>
      </c>
      <c r="D3" s="3" t="s">
        <v>19</v>
      </c>
      <c r="E3" s="3" t="s">
        <v>20</v>
      </c>
      <c r="F3" s="3" t="s">
        <v>19</v>
      </c>
      <c r="G3" s="3" t="s">
        <v>19</v>
      </c>
      <c r="H3" s="3" t="s">
        <v>20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21</v>
      </c>
    </row>
    <row r="4" s="1" customFormat="1" spans="1:18">
      <c r="A4" s="3" t="s">
        <v>22</v>
      </c>
      <c r="B4" s="3" t="s">
        <v>22</v>
      </c>
      <c r="C4" s="3" t="s">
        <v>23</v>
      </c>
      <c r="D4" s="6">
        <v>183800.7971</v>
      </c>
      <c r="E4" s="6">
        <v>10251666.6972656</v>
      </c>
      <c r="F4" s="6">
        <v>0</v>
      </c>
      <c r="G4" s="6">
        <v>5988879.94217825</v>
      </c>
      <c r="H4" s="6">
        <v>15592825.802</v>
      </c>
      <c r="I4" s="6">
        <v>3177910.91</v>
      </c>
      <c r="J4" s="6">
        <v>21501806.9049072</v>
      </c>
      <c r="K4" s="6">
        <v>38346229.6147461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280000</v>
      </c>
      <c r="R4">
        <f>SUM(R5:R185)</f>
        <v>95323120.6681972</v>
      </c>
    </row>
    <row r="5" spans="1:18">
      <c r="A5" s="3" t="s">
        <v>24</v>
      </c>
      <c r="B5" s="3" t="s">
        <v>25</v>
      </c>
      <c r="C5" s="3" t="s">
        <v>26</v>
      </c>
      <c r="D5" s="6">
        <v>7433.4703</v>
      </c>
      <c r="E5" s="6">
        <v>0</v>
      </c>
      <c r="F5" s="6">
        <v>0</v>
      </c>
      <c r="G5" s="6">
        <v>251678.40625</v>
      </c>
      <c r="H5" s="6">
        <v>0</v>
      </c>
      <c r="I5" s="6">
        <v>3074.7</v>
      </c>
      <c r="J5" s="6">
        <v>708354.875</v>
      </c>
      <c r="K5" s="6">
        <v>1557841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7">
        <f>SUM(D5:Q5)</f>
        <v>2528382.45155</v>
      </c>
    </row>
    <row r="6" spans="1:18">
      <c r="A6" s="3" t="s">
        <v>24</v>
      </c>
      <c r="B6" s="3" t="s">
        <v>25</v>
      </c>
      <c r="C6" s="3" t="s">
        <v>27</v>
      </c>
      <c r="D6" s="6">
        <v>5247.3658</v>
      </c>
      <c r="E6" s="6">
        <v>0</v>
      </c>
      <c r="F6" s="6">
        <v>0</v>
      </c>
      <c r="G6" s="6">
        <v>108564.3984375</v>
      </c>
      <c r="H6" s="6">
        <v>0</v>
      </c>
      <c r="I6" s="6">
        <v>983.85</v>
      </c>
      <c r="J6" s="6">
        <v>466259.84375</v>
      </c>
      <c r="K6" s="6">
        <v>1210488.5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7">
        <f t="shared" ref="R6:R37" si="0">SUM(D6:Q6)</f>
        <v>1791543.9579875</v>
      </c>
    </row>
    <row r="7" spans="1:18">
      <c r="A7" s="3" t="s">
        <v>24</v>
      </c>
      <c r="B7" s="3" t="s">
        <v>25</v>
      </c>
      <c r="C7" s="3" t="s">
        <v>28</v>
      </c>
      <c r="D7" s="6">
        <v>6613.0565</v>
      </c>
      <c r="E7" s="6">
        <v>0</v>
      </c>
      <c r="F7" s="6">
        <v>0</v>
      </c>
      <c r="G7" s="6">
        <v>147152.796875</v>
      </c>
      <c r="H7" s="6">
        <v>0</v>
      </c>
      <c r="I7" s="6">
        <v>0</v>
      </c>
      <c r="J7" s="6">
        <v>773204.25</v>
      </c>
      <c r="K7" s="6">
        <v>1036343.5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>
        <f t="shared" si="0"/>
        <v>1963313.603375</v>
      </c>
    </row>
    <row r="8" spans="1:18">
      <c r="A8" s="3" t="s">
        <v>24</v>
      </c>
      <c r="B8" s="3" t="s">
        <v>25</v>
      </c>
      <c r="C8" s="3" t="s">
        <v>29</v>
      </c>
      <c r="D8" s="6">
        <v>1982.1253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201660</v>
      </c>
      <c r="K8" s="6">
        <v>477660.5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>
        <f t="shared" si="0"/>
        <v>681302.6253</v>
      </c>
    </row>
    <row r="9" spans="1:18">
      <c r="A9" s="3" t="s">
        <v>24</v>
      </c>
      <c r="B9" s="3" t="s">
        <v>25</v>
      </c>
      <c r="C9" s="3" t="s">
        <v>30</v>
      </c>
      <c r="D9" s="6">
        <v>876.0877</v>
      </c>
      <c r="E9" s="6">
        <v>0</v>
      </c>
      <c r="F9" s="6">
        <v>0</v>
      </c>
      <c r="G9" s="6">
        <v>0</v>
      </c>
      <c r="H9" s="6">
        <v>0</v>
      </c>
      <c r="I9" s="6">
        <v>437.7</v>
      </c>
      <c r="J9" s="6">
        <v>0</v>
      </c>
      <c r="K9" s="6">
        <v>417042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>
        <f t="shared" si="0"/>
        <v>418355.7877</v>
      </c>
    </row>
    <row r="10" spans="1:18">
      <c r="A10" s="3" t="s">
        <v>24</v>
      </c>
      <c r="B10" s="3" t="s">
        <v>25</v>
      </c>
      <c r="C10" s="3" t="s">
        <v>31</v>
      </c>
      <c r="D10" s="6">
        <v>5528.7883</v>
      </c>
      <c r="E10" s="6">
        <v>0</v>
      </c>
      <c r="F10" s="6">
        <v>0</v>
      </c>
      <c r="G10" s="6">
        <v>55574.3984375</v>
      </c>
      <c r="H10" s="6">
        <v>0</v>
      </c>
      <c r="I10" s="6">
        <v>143.7</v>
      </c>
      <c r="J10" s="6">
        <v>753134.375</v>
      </c>
      <c r="K10" s="6">
        <v>1176138.5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>
        <f t="shared" si="0"/>
        <v>1990519.7617375</v>
      </c>
    </row>
    <row r="11" spans="1:18">
      <c r="A11" s="3" t="s">
        <v>24</v>
      </c>
      <c r="B11" s="3" t="s">
        <v>25</v>
      </c>
      <c r="C11" s="3" t="s">
        <v>32</v>
      </c>
      <c r="D11" s="6">
        <v>3099.8351</v>
      </c>
      <c r="E11" s="6">
        <v>0</v>
      </c>
      <c r="F11" s="6">
        <v>0</v>
      </c>
      <c r="G11" s="6">
        <v>58672.80078125</v>
      </c>
      <c r="H11" s="6">
        <v>0</v>
      </c>
      <c r="I11" s="6">
        <v>185399.85</v>
      </c>
      <c r="J11" s="6">
        <v>264911.875</v>
      </c>
      <c r="K11" s="6">
        <v>1366573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>
        <f t="shared" si="0"/>
        <v>1878657.36088125</v>
      </c>
    </row>
    <row r="12" spans="1:18">
      <c r="A12" s="3" t="s">
        <v>24</v>
      </c>
      <c r="B12" s="3" t="s">
        <v>25</v>
      </c>
      <c r="C12" s="3" t="s">
        <v>33</v>
      </c>
      <c r="D12" s="6">
        <v>5583.2962</v>
      </c>
      <c r="E12" s="6">
        <v>0</v>
      </c>
      <c r="F12" s="6">
        <v>0</v>
      </c>
      <c r="G12" s="6">
        <v>151966.796875</v>
      </c>
      <c r="H12" s="6">
        <v>0</v>
      </c>
      <c r="I12" s="6">
        <v>108.75</v>
      </c>
      <c r="J12" s="6">
        <v>484063.8125</v>
      </c>
      <c r="K12" s="6">
        <v>1078157.5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>
        <f t="shared" si="0"/>
        <v>1719880.155575</v>
      </c>
    </row>
    <row r="13" spans="1:18">
      <c r="A13" s="3" t="s">
        <v>24</v>
      </c>
      <c r="B13" s="3" t="s">
        <v>25</v>
      </c>
      <c r="C13" s="3" t="s">
        <v>34</v>
      </c>
      <c r="D13" s="6">
        <v>4181.2174</v>
      </c>
      <c r="E13" s="6">
        <v>0</v>
      </c>
      <c r="F13" s="6">
        <v>0</v>
      </c>
      <c r="G13" s="6">
        <v>78310.3984375</v>
      </c>
      <c r="H13" s="6">
        <v>0</v>
      </c>
      <c r="I13" s="6">
        <v>0</v>
      </c>
      <c r="J13" s="6">
        <v>0</v>
      </c>
      <c r="K13" s="6">
        <v>595413.5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>
        <f t="shared" si="0"/>
        <v>677905.1158375</v>
      </c>
    </row>
    <row r="14" spans="1:18">
      <c r="A14" s="3" t="s">
        <v>24</v>
      </c>
      <c r="B14" s="3" t="s">
        <v>25</v>
      </c>
      <c r="C14" s="3" t="s">
        <v>35</v>
      </c>
      <c r="D14" s="6">
        <v>5505.916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742070</v>
      </c>
      <c r="K14" s="6">
        <v>1069111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>
        <f t="shared" si="0"/>
        <v>1816686.916</v>
      </c>
    </row>
    <row r="15" spans="1:18">
      <c r="A15" s="3" t="s">
        <v>24</v>
      </c>
      <c r="B15" s="3" t="s">
        <v>25</v>
      </c>
      <c r="C15" s="3" t="s">
        <v>36</v>
      </c>
      <c r="D15" s="6">
        <v>15639.5242</v>
      </c>
      <c r="E15" s="6">
        <v>0</v>
      </c>
      <c r="F15" s="6">
        <v>0</v>
      </c>
      <c r="G15" s="6">
        <v>592910.375</v>
      </c>
      <c r="H15" s="6">
        <v>0</v>
      </c>
      <c r="I15" s="6">
        <v>27.3</v>
      </c>
      <c r="J15" s="6">
        <v>1721381.25</v>
      </c>
      <c r="K15" s="6">
        <v>3712058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>
        <f t="shared" si="0"/>
        <v>6042016.4492</v>
      </c>
    </row>
    <row r="16" spans="1:18">
      <c r="A16" s="3" t="s">
        <v>24</v>
      </c>
      <c r="B16" s="3" t="s">
        <v>25</v>
      </c>
      <c r="C16" s="3" t="s">
        <v>37</v>
      </c>
      <c r="D16" s="6">
        <v>2548.2188</v>
      </c>
      <c r="E16" s="6">
        <v>0</v>
      </c>
      <c r="F16" s="6">
        <v>0</v>
      </c>
      <c r="G16" s="6">
        <v>80454.3984375</v>
      </c>
      <c r="H16" s="6">
        <v>0</v>
      </c>
      <c r="I16" s="6">
        <v>808.8</v>
      </c>
      <c r="J16" s="6">
        <v>244876.5</v>
      </c>
      <c r="K16" s="6">
        <v>537220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>
        <f t="shared" si="0"/>
        <v>865907.9172375</v>
      </c>
    </row>
    <row r="17" spans="1:18">
      <c r="A17" s="3" t="s">
        <v>24</v>
      </c>
      <c r="B17" s="3" t="s">
        <v>25</v>
      </c>
      <c r="C17" s="3" t="s">
        <v>38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146366.85</v>
      </c>
      <c r="J17" s="6">
        <v>0</v>
      </c>
      <c r="K17" s="6">
        <v>178170.5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>
        <f t="shared" si="0"/>
        <v>324537.35</v>
      </c>
    </row>
    <row r="18" spans="1:18">
      <c r="A18" s="3" t="s">
        <v>24</v>
      </c>
      <c r="B18" s="3" t="s">
        <v>25</v>
      </c>
      <c r="C18" s="3" t="s">
        <v>39</v>
      </c>
      <c r="D18" s="6">
        <v>7657.4261</v>
      </c>
      <c r="E18" s="6">
        <v>0</v>
      </c>
      <c r="F18" s="6">
        <v>0</v>
      </c>
      <c r="G18" s="6">
        <v>325052.40625</v>
      </c>
      <c r="H18" s="6">
        <v>0</v>
      </c>
      <c r="I18" s="6">
        <v>17249.85</v>
      </c>
      <c r="J18" s="6">
        <v>968932.8125</v>
      </c>
      <c r="K18" s="6">
        <v>2406737.5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>
        <f t="shared" si="0"/>
        <v>3725629.99485</v>
      </c>
    </row>
    <row r="19" spans="1:18">
      <c r="A19" s="3" t="s">
        <v>24</v>
      </c>
      <c r="B19" s="3" t="s">
        <v>25</v>
      </c>
      <c r="C19" s="3" t="s">
        <v>40</v>
      </c>
      <c r="D19" s="6">
        <v>1838.6533</v>
      </c>
      <c r="E19" s="6">
        <v>0</v>
      </c>
      <c r="F19" s="6">
        <v>0</v>
      </c>
      <c r="G19" s="6">
        <v>80221.6015625</v>
      </c>
      <c r="H19" s="6">
        <v>0</v>
      </c>
      <c r="I19" s="6">
        <v>16706.85</v>
      </c>
      <c r="J19" s="6">
        <v>241361.046875</v>
      </c>
      <c r="K19" s="6">
        <v>435058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7">
        <f t="shared" si="0"/>
        <v>775186.1517375</v>
      </c>
    </row>
    <row r="20" spans="1:18">
      <c r="A20" s="3" t="s">
        <v>24</v>
      </c>
      <c r="B20" s="3" t="s">
        <v>25</v>
      </c>
      <c r="C20" s="3" t="s">
        <v>41</v>
      </c>
      <c r="D20" s="6">
        <v>1325.2782</v>
      </c>
      <c r="E20" s="6">
        <v>0</v>
      </c>
      <c r="F20" s="6">
        <v>0</v>
      </c>
      <c r="G20" s="6">
        <v>50795.19921875</v>
      </c>
      <c r="H20" s="6">
        <v>0</v>
      </c>
      <c r="I20" s="6">
        <v>628.8</v>
      </c>
      <c r="J20" s="6">
        <v>487954.5</v>
      </c>
      <c r="K20" s="6">
        <v>834410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7">
        <f t="shared" si="0"/>
        <v>1375113.77741875</v>
      </c>
    </row>
    <row r="21" spans="1:18">
      <c r="A21" s="3" t="s">
        <v>24</v>
      </c>
      <c r="B21" s="3" t="s">
        <v>25</v>
      </c>
      <c r="C21" s="3" t="s">
        <v>42</v>
      </c>
      <c r="D21" s="6">
        <v>9524.0921</v>
      </c>
      <c r="E21" s="6">
        <v>0</v>
      </c>
      <c r="F21" s="6">
        <v>0</v>
      </c>
      <c r="G21" s="6">
        <v>340267.1875</v>
      </c>
      <c r="H21" s="6">
        <v>0</v>
      </c>
      <c r="I21" s="6">
        <v>0</v>
      </c>
      <c r="J21" s="6">
        <v>979383.875</v>
      </c>
      <c r="K21" s="6">
        <v>1993095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7">
        <f t="shared" si="0"/>
        <v>3322270.1546</v>
      </c>
    </row>
    <row r="22" spans="1:18">
      <c r="A22" s="3" t="s">
        <v>24</v>
      </c>
      <c r="B22" s="3" t="s">
        <v>25</v>
      </c>
      <c r="C22" s="3" t="s">
        <v>43</v>
      </c>
      <c r="D22" s="6">
        <v>8738.8594</v>
      </c>
      <c r="E22" s="6">
        <v>0</v>
      </c>
      <c r="F22" s="6">
        <v>0</v>
      </c>
      <c r="G22" s="6">
        <v>267108.40625</v>
      </c>
      <c r="H22" s="6">
        <v>0</v>
      </c>
      <c r="I22" s="6">
        <v>0</v>
      </c>
      <c r="J22" s="6">
        <v>1506027.25</v>
      </c>
      <c r="K22" s="6">
        <v>2448252.5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7">
        <f t="shared" si="0"/>
        <v>4230127.01565</v>
      </c>
    </row>
    <row r="23" spans="1:18">
      <c r="A23" s="3" t="s">
        <v>24</v>
      </c>
      <c r="B23" s="3" t="s">
        <v>25</v>
      </c>
      <c r="C23" s="3" t="s">
        <v>44</v>
      </c>
      <c r="D23" s="6">
        <v>7253.4588</v>
      </c>
      <c r="E23" s="6">
        <v>0</v>
      </c>
      <c r="F23" s="6">
        <v>0</v>
      </c>
      <c r="G23" s="6">
        <v>196747.203125</v>
      </c>
      <c r="H23" s="6">
        <v>0</v>
      </c>
      <c r="I23" s="6">
        <v>0</v>
      </c>
      <c r="J23" s="6">
        <v>778333.5</v>
      </c>
      <c r="K23" s="6">
        <v>1049463.5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7">
        <f t="shared" si="0"/>
        <v>2031797.661925</v>
      </c>
    </row>
    <row r="24" spans="1:18">
      <c r="A24" s="3" t="s">
        <v>24</v>
      </c>
      <c r="B24" s="3" t="s">
        <v>25</v>
      </c>
      <c r="C24" s="3" t="s">
        <v>45</v>
      </c>
      <c r="D24" s="6">
        <v>11090.2979</v>
      </c>
      <c r="E24" s="6">
        <v>0</v>
      </c>
      <c r="F24" s="6">
        <v>0</v>
      </c>
      <c r="G24" s="6">
        <v>472696.40625</v>
      </c>
      <c r="H24" s="6">
        <v>0</v>
      </c>
      <c r="I24" s="6">
        <v>0</v>
      </c>
      <c r="J24" s="6">
        <v>931571.5625</v>
      </c>
      <c r="K24" s="6">
        <v>1482284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7">
        <f t="shared" si="0"/>
        <v>2897642.26665</v>
      </c>
    </row>
    <row r="25" spans="1:18">
      <c r="A25" s="3" t="s">
        <v>24</v>
      </c>
      <c r="B25" s="3" t="s">
        <v>25</v>
      </c>
      <c r="C25" s="3" t="s">
        <v>46</v>
      </c>
      <c r="D25" s="6">
        <v>7113.7825</v>
      </c>
      <c r="E25" s="6">
        <v>0</v>
      </c>
      <c r="F25" s="6">
        <v>0</v>
      </c>
      <c r="G25" s="6">
        <v>235149.59375</v>
      </c>
      <c r="H25" s="6">
        <v>0</v>
      </c>
      <c r="I25" s="6">
        <v>0</v>
      </c>
      <c r="J25" s="6">
        <v>782852.1875</v>
      </c>
      <c r="K25" s="6">
        <v>1289613.5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7">
        <f t="shared" si="0"/>
        <v>2314729.06375</v>
      </c>
    </row>
    <row r="26" spans="1:18">
      <c r="A26" s="3" t="s">
        <v>24</v>
      </c>
      <c r="B26" s="3" t="s">
        <v>25</v>
      </c>
      <c r="C26" s="3" t="s">
        <v>47</v>
      </c>
      <c r="D26" s="6">
        <v>301.0285</v>
      </c>
      <c r="E26" s="6">
        <v>0</v>
      </c>
      <c r="F26" s="6">
        <v>0</v>
      </c>
      <c r="G26" s="6">
        <v>10308.400390625</v>
      </c>
      <c r="H26" s="6">
        <v>0</v>
      </c>
      <c r="I26" s="6">
        <v>40.65</v>
      </c>
      <c r="J26" s="6">
        <v>0</v>
      </c>
      <c r="K26" s="6">
        <v>456632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7">
        <f t="shared" si="0"/>
        <v>467282.078890625</v>
      </c>
    </row>
    <row r="27" spans="1:18">
      <c r="A27" s="3" t="s">
        <v>24</v>
      </c>
      <c r="B27" s="3" t="s">
        <v>25</v>
      </c>
      <c r="C27" s="3" t="s">
        <v>48</v>
      </c>
      <c r="D27" s="6">
        <v>4517.1418</v>
      </c>
      <c r="E27" s="6">
        <v>0</v>
      </c>
      <c r="F27" s="6">
        <v>0</v>
      </c>
      <c r="G27" s="6">
        <v>84582.3984375</v>
      </c>
      <c r="H27" s="6">
        <v>0</v>
      </c>
      <c r="I27" s="6">
        <v>1150.5</v>
      </c>
      <c r="J27" s="6">
        <v>504333.5</v>
      </c>
      <c r="K27" s="6">
        <v>1169138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7">
        <f t="shared" si="0"/>
        <v>1763721.5402375</v>
      </c>
    </row>
    <row r="28" spans="1:18">
      <c r="A28" s="3" t="s">
        <v>24</v>
      </c>
      <c r="B28" s="3" t="s">
        <v>25</v>
      </c>
      <c r="C28" s="3" t="s">
        <v>49</v>
      </c>
      <c r="D28" s="6">
        <v>2090.6675</v>
      </c>
      <c r="E28" s="6">
        <v>0</v>
      </c>
      <c r="F28" s="6">
        <v>0</v>
      </c>
      <c r="G28" s="6">
        <v>54075.19921875</v>
      </c>
      <c r="H28" s="6">
        <v>0</v>
      </c>
      <c r="I28" s="6">
        <v>4647.45</v>
      </c>
      <c r="J28" s="6">
        <v>244450.796875</v>
      </c>
      <c r="K28" s="6">
        <v>464284.5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7">
        <f t="shared" si="0"/>
        <v>769548.61359375</v>
      </c>
    </row>
    <row r="29" spans="1:18">
      <c r="A29" s="3" t="s">
        <v>24</v>
      </c>
      <c r="B29" s="3" t="s">
        <v>25</v>
      </c>
      <c r="C29" s="3" t="s">
        <v>50</v>
      </c>
      <c r="D29" s="6">
        <v>3568.5277</v>
      </c>
      <c r="E29" s="6">
        <v>0</v>
      </c>
      <c r="F29" s="6">
        <v>0</v>
      </c>
      <c r="G29" s="6">
        <v>18899.599609375</v>
      </c>
      <c r="H29" s="6">
        <v>0</v>
      </c>
      <c r="I29" s="6">
        <v>311.1</v>
      </c>
      <c r="J29" s="6">
        <v>489393.3125</v>
      </c>
      <c r="K29" s="6">
        <v>787066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7">
        <f t="shared" si="0"/>
        <v>1299238.53980938</v>
      </c>
    </row>
    <row r="30" spans="1:18">
      <c r="A30" s="3" t="s">
        <v>24</v>
      </c>
      <c r="B30" s="3" t="s">
        <v>25</v>
      </c>
      <c r="C30" s="3" t="s">
        <v>51</v>
      </c>
      <c r="D30" s="6">
        <v>2026.8667</v>
      </c>
      <c r="E30" s="6">
        <v>0</v>
      </c>
      <c r="F30" s="6">
        <v>0</v>
      </c>
      <c r="G30" s="6">
        <v>64050.80078125</v>
      </c>
      <c r="H30" s="6">
        <v>0</v>
      </c>
      <c r="I30" s="6">
        <v>2241.3</v>
      </c>
      <c r="J30" s="6">
        <v>244876.5</v>
      </c>
      <c r="K30" s="6">
        <v>505590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7">
        <f t="shared" si="0"/>
        <v>818785.46748125</v>
      </c>
    </row>
    <row r="31" spans="1:18">
      <c r="A31" s="3" t="s">
        <v>24</v>
      </c>
      <c r="B31" s="3" t="s">
        <v>25</v>
      </c>
      <c r="C31" s="3" t="s">
        <v>52</v>
      </c>
      <c r="D31" s="6">
        <v>7412.7896</v>
      </c>
      <c r="E31" s="6">
        <v>0</v>
      </c>
      <c r="F31" s="6">
        <v>0</v>
      </c>
      <c r="G31" s="6">
        <v>245721.203125</v>
      </c>
      <c r="H31" s="6">
        <v>0</v>
      </c>
      <c r="I31" s="6">
        <v>2943.6</v>
      </c>
      <c r="J31" s="6">
        <v>918973.25</v>
      </c>
      <c r="K31" s="6">
        <v>2257299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7">
        <f t="shared" si="0"/>
        <v>3432349.842725</v>
      </c>
    </row>
    <row r="32" spans="1:18">
      <c r="A32" s="3" t="s">
        <v>24</v>
      </c>
      <c r="B32" s="3" t="s">
        <v>25</v>
      </c>
      <c r="C32" s="3" t="s">
        <v>53</v>
      </c>
      <c r="D32" s="6">
        <v>15706.4791</v>
      </c>
      <c r="E32" s="6">
        <v>0</v>
      </c>
      <c r="F32" s="6">
        <v>0</v>
      </c>
      <c r="G32" s="6">
        <v>433785.1875</v>
      </c>
      <c r="H32" s="6">
        <v>0</v>
      </c>
      <c r="I32" s="6">
        <v>0</v>
      </c>
      <c r="J32" s="6">
        <v>1524948.875</v>
      </c>
      <c r="K32" s="6">
        <v>2196527.5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7">
        <f t="shared" si="0"/>
        <v>4170968.0416</v>
      </c>
    </row>
    <row r="33" spans="1:18">
      <c r="A33" s="3" t="s">
        <v>24</v>
      </c>
      <c r="B33" s="3" t="s">
        <v>25</v>
      </c>
      <c r="C33" s="3" t="s">
        <v>54</v>
      </c>
      <c r="D33" s="6">
        <v>3478.4441</v>
      </c>
      <c r="E33" s="6">
        <v>0</v>
      </c>
      <c r="F33" s="6">
        <v>0</v>
      </c>
      <c r="G33" s="6">
        <v>42566</v>
      </c>
      <c r="H33" s="6">
        <v>0</v>
      </c>
      <c r="I33" s="6">
        <v>0</v>
      </c>
      <c r="J33" s="6">
        <v>489733.1875</v>
      </c>
      <c r="K33" s="6">
        <v>899395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7">
        <f t="shared" si="0"/>
        <v>1435172.6316</v>
      </c>
    </row>
    <row r="34" spans="1:18">
      <c r="A34" s="3" t="s">
        <v>24</v>
      </c>
      <c r="B34" s="3" t="s">
        <v>55</v>
      </c>
      <c r="C34" s="3" t="s">
        <v>56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23.85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7">
        <f t="shared" si="0"/>
        <v>23.85</v>
      </c>
    </row>
    <row r="35" spans="1:18">
      <c r="A35" s="3" t="s">
        <v>24</v>
      </c>
      <c r="B35" s="3" t="s">
        <v>55</v>
      </c>
      <c r="C35" s="3" t="s">
        <v>57</v>
      </c>
      <c r="D35" s="6">
        <v>0</v>
      </c>
      <c r="E35" s="6">
        <v>0</v>
      </c>
      <c r="F35" s="6">
        <v>0</v>
      </c>
      <c r="G35" s="6">
        <v>0</v>
      </c>
      <c r="H35" s="6">
        <v>10010</v>
      </c>
      <c r="I35" s="6">
        <v>14.7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7">
        <f t="shared" si="0"/>
        <v>10024.7</v>
      </c>
    </row>
    <row r="36" spans="1:18">
      <c r="A36" s="3" t="s">
        <v>24</v>
      </c>
      <c r="B36" s="3" t="s">
        <v>55</v>
      </c>
      <c r="C36" s="3" t="s">
        <v>58</v>
      </c>
      <c r="D36" s="6">
        <v>0.3254</v>
      </c>
      <c r="E36" s="6">
        <v>0</v>
      </c>
      <c r="F36" s="6">
        <v>0</v>
      </c>
      <c r="G36" s="6">
        <v>159.600006103516</v>
      </c>
      <c r="H36" s="6">
        <v>8539.542</v>
      </c>
      <c r="I36" s="6">
        <v>3.45</v>
      </c>
      <c r="J36" s="6">
        <v>0</v>
      </c>
      <c r="K36" s="6">
        <v>9576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40000</v>
      </c>
      <c r="R36" s="7">
        <f t="shared" si="0"/>
        <v>58278.9174061035</v>
      </c>
    </row>
    <row r="37" spans="1:18">
      <c r="A37" s="3" t="s">
        <v>24</v>
      </c>
      <c r="B37" s="3" t="s">
        <v>55</v>
      </c>
      <c r="C37" s="3" t="s">
        <v>59</v>
      </c>
      <c r="D37" s="6">
        <v>5.6516</v>
      </c>
      <c r="E37" s="6">
        <v>0</v>
      </c>
      <c r="F37" s="6">
        <v>0</v>
      </c>
      <c r="G37" s="6">
        <v>777.200012207031</v>
      </c>
      <c r="H37" s="6">
        <v>78293.305</v>
      </c>
      <c r="I37" s="6">
        <v>682.65</v>
      </c>
      <c r="J37" s="6">
        <v>23949.5</v>
      </c>
      <c r="K37" s="6">
        <v>15058.5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40000</v>
      </c>
      <c r="R37" s="7">
        <f t="shared" si="0"/>
        <v>158766.806612207</v>
      </c>
    </row>
    <row r="38" spans="1:18">
      <c r="A38" s="3" t="s">
        <v>24</v>
      </c>
      <c r="B38" s="3" t="s">
        <v>55</v>
      </c>
      <c r="C38" s="3" t="s">
        <v>60</v>
      </c>
      <c r="D38" s="6">
        <v>0.2394</v>
      </c>
      <c r="E38" s="6">
        <v>0</v>
      </c>
      <c r="F38" s="6">
        <v>0</v>
      </c>
      <c r="G38" s="6">
        <v>715.200012207031</v>
      </c>
      <c r="H38" s="6">
        <v>0</v>
      </c>
      <c r="I38" s="6">
        <v>565.05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40000</v>
      </c>
      <c r="R38" s="7">
        <f t="shared" ref="R38:R69" si="1">SUM(D38:Q38)</f>
        <v>41280.489412207</v>
      </c>
    </row>
    <row r="39" spans="1:18">
      <c r="A39" s="3" t="s">
        <v>24</v>
      </c>
      <c r="B39" s="3" t="s">
        <v>55</v>
      </c>
      <c r="C39" s="3" t="s">
        <v>61</v>
      </c>
      <c r="D39" s="6">
        <v>32.3317</v>
      </c>
      <c r="E39" s="6">
        <v>0</v>
      </c>
      <c r="F39" s="6">
        <v>0</v>
      </c>
      <c r="G39" s="6">
        <v>132074.796875</v>
      </c>
      <c r="H39" s="6">
        <v>241956.08</v>
      </c>
      <c r="I39" s="6">
        <v>2164.65</v>
      </c>
      <c r="J39" s="6">
        <v>29192</v>
      </c>
      <c r="K39" s="6">
        <v>47837.5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40000</v>
      </c>
      <c r="R39" s="7">
        <f t="shared" si="1"/>
        <v>493257.358575</v>
      </c>
    </row>
    <row r="40" spans="1:18">
      <c r="A40" s="3" t="s">
        <v>24</v>
      </c>
      <c r="B40" s="3" t="s">
        <v>55</v>
      </c>
      <c r="C40" s="3" t="s">
        <v>62</v>
      </c>
      <c r="D40" s="6">
        <v>10.3212</v>
      </c>
      <c r="E40" s="6">
        <v>0</v>
      </c>
      <c r="F40" s="6">
        <v>0</v>
      </c>
      <c r="G40" s="6">
        <v>11664.7998046875</v>
      </c>
      <c r="H40" s="6">
        <v>129346.875</v>
      </c>
      <c r="I40" s="6">
        <v>699.9</v>
      </c>
      <c r="J40" s="6">
        <v>19216.5</v>
      </c>
      <c r="K40" s="6">
        <v>15412.5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40000</v>
      </c>
      <c r="R40" s="7">
        <f t="shared" si="1"/>
        <v>216350.896004687</v>
      </c>
    </row>
    <row r="41" spans="1:18">
      <c r="A41" s="3" t="s">
        <v>24</v>
      </c>
      <c r="B41" s="3" t="s">
        <v>55</v>
      </c>
      <c r="C41" s="3" t="s">
        <v>63</v>
      </c>
      <c r="D41" s="6">
        <v>0.1379</v>
      </c>
      <c r="E41" s="6">
        <v>0</v>
      </c>
      <c r="F41" s="6">
        <v>0</v>
      </c>
      <c r="G41" s="6">
        <v>0</v>
      </c>
      <c r="H41" s="6">
        <v>0</v>
      </c>
      <c r="I41" s="6">
        <v>14.25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7">
        <f t="shared" si="1"/>
        <v>14.3879</v>
      </c>
    </row>
    <row r="42" spans="1:18">
      <c r="A42" s="3" t="s">
        <v>24</v>
      </c>
      <c r="B42" s="3" t="s">
        <v>64</v>
      </c>
      <c r="C42" s="3" t="s">
        <v>65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820.8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80000</v>
      </c>
      <c r="R42" s="7">
        <f t="shared" si="1"/>
        <v>80820.8</v>
      </c>
    </row>
    <row r="43" spans="1:18">
      <c r="A43" s="3" t="s">
        <v>24</v>
      </c>
      <c r="B43" s="3" t="s">
        <v>66</v>
      </c>
      <c r="C43" s="3" t="s">
        <v>67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154629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7">
        <f t="shared" si="1"/>
        <v>154629</v>
      </c>
    </row>
    <row r="44" spans="1:18">
      <c r="A44" s="3" t="s">
        <v>24</v>
      </c>
      <c r="B44" s="3" t="s">
        <v>66</v>
      </c>
      <c r="C44" s="3" t="s">
        <v>68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652249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7">
        <f t="shared" si="1"/>
        <v>652249</v>
      </c>
    </row>
    <row r="45" spans="1:18">
      <c r="A45" s="3" t="s">
        <v>24</v>
      </c>
      <c r="B45" s="3" t="s">
        <v>69</v>
      </c>
      <c r="C45" s="3" t="s">
        <v>70</v>
      </c>
      <c r="D45" s="6">
        <v>7431.6199</v>
      </c>
      <c r="E45" s="6">
        <v>1117228.5</v>
      </c>
      <c r="F45" s="6">
        <v>0</v>
      </c>
      <c r="G45" s="6">
        <v>349443.59375</v>
      </c>
      <c r="H45" s="6">
        <v>4803500</v>
      </c>
      <c r="I45" s="6">
        <v>8598.47</v>
      </c>
      <c r="J45" s="6">
        <v>556756.125</v>
      </c>
      <c r="K45" s="6">
        <v>457899.5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7">
        <f t="shared" si="1"/>
        <v>7300857.80865</v>
      </c>
    </row>
    <row r="46" spans="1:18">
      <c r="A46" s="3" t="s">
        <v>24</v>
      </c>
      <c r="B46" s="3" t="s">
        <v>69</v>
      </c>
      <c r="C46" s="3" t="s">
        <v>71</v>
      </c>
      <c r="D46" s="6">
        <v>1027.8352</v>
      </c>
      <c r="E46" s="6">
        <v>180787.34375</v>
      </c>
      <c r="F46" s="6">
        <v>0</v>
      </c>
      <c r="G46" s="6">
        <v>0</v>
      </c>
      <c r="H46" s="6">
        <v>595400</v>
      </c>
      <c r="I46" s="6">
        <v>2991.96</v>
      </c>
      <c r="J46" s="6">
        <v>127885.046875</v>
      </c>
      <c r="K46" s="6">
        <v>94537.5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7">
        <f t="shared" si="1"/>
        <v>1002629.685825</v>
      </c>
    </row>
    <row r="47" spans="1:18">
      <c r="A47" s="3" t="s">
        <v>24</v>
      </c>
      <c r="B47" s="3" t="s">
        <v>69</v>
      </c>
      <c r="C47" s="3" t="s">
        <v>72</v>
      </c>
      <c r="D47" s="6">
        <v>941.1527</v>
      </c>
      <c r="E47" s="6">
        <v>1201283.75</v>
      </c>
      <c r="F47" s="6">
        <v>0</v>
      </c>
      <c r="G47" s="6">
        <v>116354.796875</v>
      </c>
      <c r="H47" s="6">
        <v>1087500</v>
      </c>
      <c r="I47" s="6">
        <v>26322.66</v>
      </c>
      <c r="J47" s="6">
        <v>209391.59375</v>
      </c>
      <c r="K47" s="6">
        <v>278944.3125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7">
        <f t="shared" si="1"/>
        <v>2920738.265825</v>
      </c>
    </row>
    <row r="48" spans="1:18">
      <c r="A48" s="3" t="s">
        <v>24</v>
      </c>
      <c r="B48" s="3" t="s">
        <v>69</v>
      </c>
      <c r="C48" s="3" t="s">
        <v>73</v>
      </c>
      <c r="D48" s="6">
        <v>1.5912</v>
      </c>
      <c r="E48" s="6">
        <v>0</v>
      </c>
      <c r="F48" s="6">
        <v>0</v>
      </c>
      <c r="G48" s="6">
        <v>0</v>
      </c>
      <c r="H48" s="6">
        <v>51800</v>
      </c>
      <c r="I48" s="6">
        <v>3265.2</v>
      </c>
      <c r="J48" s="6">
        <v>1937.25</v>
      </c>
      <c r="K48" s="6">
        <v>30898.30078125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7">
        <f t="shared" si="1"/>
        <v>87902.34198125</v>
      </c>
    </row>
    <row r="49" spans="1:18">
      <c r="A49" s="3" t="s">
        <v>24</v>
      </c>
      <c r="B49" s="3" t="s">
        <v>69</v>
      </c>
      <c r="C49" s="3" t="s">
        <v>74</v>
      </c>
      <c r="D49" s="6">
        <v>1377.3122</v>
      </c>
      <c r="E49" s="6">
        <v>944907.5</v>
      </c>
      <c r="F49" s="6">
        <v>0</v>
      </c>
      <c r="G49" s="6">
        <v>100234.796875</v>
      </c>
      <c r="H49" s="6">
        <v>506480</v>
      </c>
      <c r="I49" s="6">
        <v>30034.17</v>
      </c>
      <c r="J49" s="6">
        <v>241840.609375</v>
      </c>
      <c r="K49" s="6">
        <v>115025.3984375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7">
        <f t="shared" si="1"/>
        <v>1939899.7868875</v>
      </c>
    </row>
    <row r="50" spans="1:18">
      <c r="A50" s="3" t="s">
        <v>24</v>
      </c>
      <c r="B50" s="3" t="s">
        <v>69</v>
      </c>
      <c r="C50" s="3" t="s">
        <v>75</v>
      </c>
      <c r="D50" s="6">
        <v>47.0359</v>
      </c>
      <c r="E50" s="6">
        <v>8563.23046875</v>
      </c>
      <c r="F50" s="6">
        <v>0</v>
      </c>
      <c r="G50" s="6">
        <v>0</v>
      </c>
      <c r="H50" s="6">
        <v>103500</v>
      </c>
      <c r="I50" s="6">
        <v>6667.35</v>
      </c>
      <c r="J50" s="6">
        <v>4849.5</v>
      </c>
      <c r="K50" s="6">
        <v>29808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7">
        <f t="shared" si="1"/>
        <v>153435.11636875</v>
      </c>
    </row>
    <row r="51" spans="1:18">
      <c r="A51" s="3" t="s">
        <v>24</v>
      </c>
      <c r="B51" s="3" t="s">
        <v>69</v>
      </c>
      <c r="C51" s="3" t="s">
        <v>76</v>
      </c>
      <c r="D51" s="6">
        <v>2896.7422</v>
      </c>
      <c r="E51" s="6">
        <v>368808.25</v>
      </c>
      <c r="F51" s="6">
        <v>0</v>
      </c>
      <c r="G51" s="6">
        <v>34932.80078125</v>
      </c>
      <c r="H51" s="6">
        <v>768400</v>
      </c>
      <c r="I51" s="6">
        <v>8412.4</v>
      </c>
      <c r="J51" s="6">
        <v>265122</v>
      </c>
      <c r="K51" s="6">
        <v>221947.90625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7">
        <f t="shared" si="1"/>
        <v>1670520.09923125</v>
      </c>
    </row>
    <row r="52" spans="1:18">
      <c r="A52" s="3" t="s">
        <v>24</v>
      </c>
      <c r="B52" s="3" t="s">
        <v>69</v>
      </c>
      <c r="C52" s="3" t="s">
        <v>77</v>
      </c>
      <c r="D52" s="6">
        <v>531.6001</v>
      </c>
      <c r="E52" s="6">
        <v>591375.625</v>
      </c>
      <c r="F52" s="6">
        <v>0</v>
      </c>
      <c r="G52" s="6">
        <v>93958</v>
      </c>
      <c r="H52" s="6">
        <v>294600</v>
      </c>
      <c r="I52" s="6">
        <v>138.52</v>
      </c>
      <c r="J52" s="6">
        <v>166603.671875</v>
      </c>
      <c r="K52" s="6">
        <v>135585.203125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7">
        <f t="shared" si="1"/>
        <v>1282792.6201</v>
      </c>
    </row>
    <row r="53" spans="1:18">
      <c r="A53" s="3" t="s">
        <v>24</v>
      </c>
      <c r="B53" s="3" t="s">
        <v>69</v>
      </c>
      <c r="C53" s="3" t="s">
        <v>78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7">
        <f t="shared" si="1"/>
        <v>0</v>
      </c>
    </row>
    <row r="54" spans="1:18">
      <c r="A54" s="3" t="s">
        <v>24</v>
      </c>
      <c r="B54" s="3" t="s">
        <v>69</v>
      </c>
      <c r="C54" s="3" t="s">
        <v>79</v>
      </c>
      <c r="D54" s="6">
        <v>142.1137</v>
      </c>
      <c r="E54" s="6">
        <v>35589.5390625</v>
      </c>
      <c r="F54" s="6">
        <v>0</v>
      </c>
      <c r="G54" s="6">
        <v>0</v>
      </c>
      <c r="H54" s="6">
        <v>287500</v>
      </c>
      <c r="I54" s="6">
        <v>12077.94</v>
      </c>
      <c r="J54" s="6">
        <v>14398.6201171875</v>
      </c>
      <c r="K54" s="6">
        <v>10583.7998046875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7">
        <f t="shared" si="1"/>
        <v>360292.012684375</v>
      </c>
    </row>
    <row r="55" spans="1:18">
      <c r="A55" s="3" t="s">
        <v>24</v>
      </c>
      <c r="B55" s="3" t="s">
        <v>69</v>
      </c>
      <c r="C55" s="3" t="s">
        <v>80</v>
      </c>
      <c r="D55" s="6">
        <v>18.8348</v>
      </c>
      <c r="E55" s="6">
        <v>8873.6396484375</v>
      </c>
      <c r="F55" s="6">
        <v>0</v>
      </c>
      <c r="G55" s="6">
        <v>0</v>
      </c>
      <c r="H55" s="6">
        <v>106400</v>
      </c>
      <c r="I55" s="6">
        <v>823.69</v>
      </c>
      <c r="J55" s="6">
        <v>5180.7998046875</v>
      </c>
      <c r="K55" s="6">
        <v>4546.60009765625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7">
        <f t="shared" si="1"/>
        <v>125843.564350781</v>
      </c>
    </row>
    <row r="56" spans="1:18">
      <c r="A56" s="3" t="s">
        <v>24</v>
      </c>
      <c r="B56" s="3" t="s">
        <v>69</v>
      </c>
      <c r="C56" s="3" t="s">
        <v>81</v>
      </c>
      <c r="D56" s="6">
        <v>248.0516</v>
      </c>
      <c r="E56" s="6">
        <v>166933.953125</v>
      </c>
      <c r="F56" s="6">
        <v>0</v>
      </c>
      <c r="G56" s="6">
        <v>0</v>
      </c>
      <c r="H56" s="6">
        <v>617700</v>
      </c>
      <c r="I56" s="6">
        <v>5596.59</v>
      </c>
      <c r="J56" s="6">
        <v>30804.109375</v>
      </c>
      <c r="K56" s="6">
        <v>23928.900390625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7">
        <f t="shared" si="1"/>
        <v>845211.604490625</v>
      </c>
    </row>
    <row r="57" spans="1:18">
      <c r="A57" s="3" t="s">
        <v>24</v>
      </c>
      <c r="B57" s="3" t="s">
        <v>69</v>
      </c>
      <c r="C57" s="3" t="s">
        <v>82</v>
      </c>
      <c r="D57" s="6">
        <v>996.3595</v>
      </c>
      <c r="E57" s="6">
        <v>9753.5703125</v>
      </c>
      <c r="F57" s="6">
        <v>0</v>
      </c>
      <c r="G57" s="6">
        <v>33458.80078125</v>
      </c>
      <c r="H57" s="6">
        <v>280720</v>
      </c>
      <c r="I57" s="6">
        <v>81.9</v>
      </c>
      <c r="J57" s="6">
        <v>115740.328125</v>
      </c>
      <c r="K57" s="6">
        <v>50393.6015625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7">
        <f t="shared" si="1"/>
        <v>491144.56028125</v>
      </c>
    </row>
    <row r="58" spans="1:18">
      <c r="A58" s="3" t="s">
        <v>24</v>
      </c>
      <c r="B58" s="3" t="s">
        <v>69</v>
      </c>
      <c r="C58" s="3" t="s">
        <v>83</v>
      </c>
      <c r="D58" s="6">
        <v>2177.4284</v>
      </c>
      <c r="E58" s="6">
        <v>1408411.875</v>
      </c>
      <c r="F58" s="6">
        <v>0</v>
      </c>
      <c r="G58" s="6">
        <v>185876.796875</v>
      </c>
      <c r="H58" s="6">
        <v>1084800</v>
      </c>
      <c r="I58" s="6">
        <v>3343.74</v>
      </c>
      <c r="J58" s="6">
        <v>244156.84375</v>
      </c>
      <c r="K58" s="6">
        <v>198588.796875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7">
        <f t="shared" si="1"/>
        <v>3127355.4809</v>
      </c>
    </row>
    <row r="59" spans="1:18">
      <c r="A59" s="3" t="s">
        <v>24</v>
      </c>
      <c r="B59" s="3" t="s">
        <v>69</v>
      </c>
      <c r="C59" s="3" t="s">
        <v>84</v>
      </c>
      <c r="D59" s="6">
        <v>769.9861</v>
      </c>
      <c r="E59" s="6">
        <v>111363.4609375</v>
      </c>
      <c r="F59" s="6">
        <v>0</v>
      </c>
      <c r="G59" s="6">
        <v>0</v>
      </c>
      <c r="H59" s="6">
        <v>232500</v>
      </c>
      <c r="I59" s="6">
        <v>2538.45</v>
      </c>
      <c r="J59" s="6">
        <v>105166.8125</v>
      </c>
      <c r="K59" s="6">
        <v>54176.8984375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7">
        <f t="shared" si="1"/>
        <v>506515.607975</v>
      </c>
    </row>
    <row r="60" spans="1:18">
      <c r="A60" s="3" t="s">
        <v>24</v>
      </c>
      <c r="B60" s="3" t="s">
        <v>69</v>
      </c>
      <c r="C60" s="3" t="s">
        <v>85</v>
      </c>
      <c r="D60" s="6">
        <v>508.6982</v>
      </c>
      <c r="E60" s="6">
        <v>118029.1484375</v>
      </c>
      <c r="F60" s="6">
        <v>0</v>
      </c>
      <c r="G60" s="6">
        <v>17235.599609375</v>
      </c>
      <c r="H60" s="6">
        <v>181700</v>
      </c>
      <c r="I60" s="6">
        <v>97275.61</v>
      </c>
      <c r="J60" s="6">
        <v>62694.1796875</v>
      </c>
      <c r="K60" s="6">
        <v>35252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7">
        <f t="shared" si="1"/>
        <v>512695.235934375</v>
      </c>
    </row>
    <row r="61" spans="1:18">
      <c r="A61" s="3" t="s">
        <v>24</v>
      </c>
      <c r="B61" s="3" t="s">
        <v>69</v>
      </c>
      <c r="C61" s="3" t="s">
        <v>86</v>
      </c>
      <c r="D61" s="6">
        <v>2496.9816</v>
      </c>
      <c r="E61" s="6">
        <v>856906.75</v>
      </c>
      <c r="F61" s="6">
        <v>0</v>
      </c>
      <c r="G61" s="6">
        <v>152024.796875</v>
      </c>
      <c r="H61" s="6">
        <v>2391380</v>
      </c>
      <c r="I61" s="6">
        <v>11065.01</v>
      </c>
      <c r="J61" s="6">
        <v>262228.21875</v>
      </c>
      <c r="K61" s="6">
        <v>231497.59375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7">
        <f t="shared" si="1"/>
        <v>3907599.350975</v>
      </c>
    </row>
    <row r="62" spans="1:18">
      <c r="A62" s="3" t="s">
        <v>24</v>
      </c>
      <c r="B62" s="3" t="s">
        <v>69</v>
      </c>
      <c r="C62" s="3" t="s">
        <v>87</v>
      </c>
      <c r="D62" s="6">
        <v>140.9838</v>
      </c>
      <c r="E62" s="6">
        <v>14242.0302734375</v>
      </c>
      <c r="F62" s="6">
        <v>0</v>
      </c>
      <c r="G62" s="6">
        <v>0</v>
      </c>
      <c r="H62" s="6">
        <v>240000</v>
      </c>
      <c r="I62" s="6">
        <v>1500.09</v>
      </c>
      <c r="J62" s="6">
        <v>12745.2802734375</v>
      </c>
      <c r="K62" s="6">
        <v>10967.099609375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7">
        <f t="shared" si="1"/>
        <v>279595.48395625</v>
      </c>
    </row>
    <row r="63" spans="1:18">
      <c r="A63" s="3" t="s">
        <v>24</v>
      </c>
      <c r="B63" s="3" t="s">
        <v>69</v>
      </c>
      <c r="C63" s="3" t="s">
        <v>88</v>
      </c>
      <c r="D63" s="6">
        <v>1441.3547</v>
      </c>
      <c r="E63" s="6">
        <v>741907.5625</v>
      </c>
      <c r="F63" s="6">
        <v>0</v>
      </c>
      <c r="G63" s="6">
        <v>138964.796875</v>
      </c>
      <c r="H63" s="6">
        <v>544800</v>
      </c>
      <c r="I63" s="6">
        <v>33348.34</v>
      </c>
      <c r="J63" s="6">
        <v>174981.90625</v>
      </c>
      <c r="K63" s="6">
        <v>108446.203125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7">
        <f t="shared" si="1"/>
        <v>1743890.16345</v>
      </c>
    </row>
    <row r="64" spans="1:18">
      <c r="A64" s="3" t="s">
        <v>24</v>
      </c>
      <c r="B64" s="3" t="s">
        <v>69</v>
      </c>
      <c r="C64" s="3" t="s">
        <v>89</v>
      </c>
      <c r="D64" s="6">
        <v>361.8394</v>
      </c>
      <c r="E64" s="6">
        <v>150105.8125</v>
      </c>
      <c r="F64" s="6">
        <v>0</v>
      </c>
      <c r="G64" s="6">
        <v>13214.400390625</v>
      </c>
      <c r="H64" s="6">
        <v>0</v>
      </c>
      <c r="I64" s="6">
        <v>180.93</v>
      </c>
      <c r="J64" s="6">
        <v>42001.73828125</v>
      </c>
      <c r="K64" s="6">
        <v>31864.5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7">
        <f t="shared" si="1"/>
        <v>237729.220571875</v>
      </c>
    </row>
    <row r="65" spans="1:18">
      <c r="A65" s="3" t="s">
        <v>24</v>
      </c>
      <c r="B65" s="3" t="s">
        <v>69</v>
      </c>
      <c r="C65" s="3" t="s">
        <v>90</v>
      </c>
      <c r="D65" s="6">
        <v>2175.5164</v>
      </c>
      <c r="E65" s="6">
        <v>1313377.5</v>
      </c>
      <c r="F65" s="6">
        <v>0</v>
      </c>
      <c r="G65" s="6">
        <v>103025.203125</v>
      </c>
      <c r="H65" s="6">
        <v>946000</v>
      </c>
      <c r="I65" s="6">
        <v>15536.69</v>
      </c>
      <c r="J65" s="6">
        <v>156481.296875</v>
      </c>
      <c r="K65" s="6">
        <v>239511.5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7">
        <f t="shared" si="1"/>
        <v>2776107.7064</v>
      </c>
    </row>
    <row r="66" spans="1:18">
      <c r="A66" s="3" t="s">
        <v>24</v>
      </c>
      <c r="B66" s="3" t="s">
        <v>91</v>
      </c>
      <c r="C66" s="3" t="s">
        <v>92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39357.12109375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7">
        <f t="shared" si="1"/>
        <v>39357.12109375</v>
      </c>
    </row>
    <row r="67" spans="1:18">
      <c r="A67" s="3" t="s">
        <v>24</v>
      </c>
      <c r="B67" s="3" t="s">
        <v>91</v>
      </c>
      <c r="C67" s="3" t="s">
        <v>93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22252.8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7">
        <f t="shared" si="1"/>
        <v>22252.8</v>
      </c>
    </row>
    <row r="68" spans="1:18">
      <c r="A68" s="3" t="s">
        <v>24</v>
      </c>
      <c r="B68" s="3" t="s">
        <v>91</v>
      </c>
      <c r="C68" s="3" t="s">
        <v>94</v>
      </c>
      <c r="D68" s="6">
        <v>0.3115</v>
      </c>
      <c r="E68" s="6">
        <v>0</v>
      </c>
      <c r="F68" s="6">
        <v>0</v>
      </c>
      <c r="G68" s="6">
        <v>922.400024414063</v>
      </c>
      <c r="H68" s="6">
        <v>0</v>
      </c>
      <c r="I68" s="6">
        <v>329.4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7">
        <f t="shared" si="1"/>
        <v>1252.11152441406</v>
      </c>
    </row>
    <row r="69" spans="1:18">
      <c r="A69" s="3" t="s">
        <v>24</v>
      </c>
      <c r="B69" s="3" t="s">
        <v>91</v>
      </c>
      <c r="C69" s="3" t="s">
        <v>95</v>
      </c>
      <c r="D69" s="6">
        <v>1.4587</v>
      </c>
      <c r="E69" s="6">
        <v>0</v>
      </c>
      <c r="F69" s="6">
        <v>0</v>
      </c>
      <c r="G69" s="6">
        <v>0</v>
      </c>
      <c r="H69" s="6">
        <v>0</v>
      </c>
      <c r="I69" s="6">
        <v>5.4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7">
        <f t="shared" si="1"/>
        <v>6.8587</v>
      </c>
    </row>
    <row r="70" spans="1:18">
      <c r="A70" s="3" t="s">
        <v>24</v>
      </c>
      <c r="B70" s="3" t="s">
        <v>91</v>
      </c>
      <c r="C70" s="3" t="s">
        <v>96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56.1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7">
        <f t="shared" ref="R70:R101" si="2">SUM(D70:Q70)</f>
        <v>56.1</v>
      </c>
    </row>
    <row r="71" spans="1:18">
      <c r="A71" s="3" t="s">
        <v>24</v>
      </c>
      <c r="B71" s="3" t="s">
        <v>91</v>
      </c>
      <c r="C71" s="3" t="s">
        <v>97</v>
      </c>
      <c r="D71" s="6">
        <v>4.259</v>
      </c>
      <c r="E71" s="6">
        <v>0</v>
      </c>
      <c r="F71" s="6">
        <v>0</v>
      </c>
      <c r="G71" s="6">
        <v>0</v>
      </c>
      <c r="H71" s="6">
        <v>0</v>
      </c>
      <c r="I71" s="6">
        <v>43.65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7">
        <f t="shared" si="2"/>
        <v>47.909</v>
      </c>
    </row>
    <row r="72" spans="1:18">
      <c r="A72" s="3" t="s">
        <v>24</v>
      </c>
      <c r="B72" s="3" t="s">
        <v>91</v>
      </c>
      <c r="C72" s="3" t="s">
        <v>98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140.25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7">
        <f t="shared" si="2"/>
        <v>140.25</v>
      </c>
    </row>
    <row r="73" spans="1:18">
      <c r="A73" s="3" t="s">
        <v>24</v>
      </c>
      <c r="B73" s="3" t="s">
        <v>91</v>
      </c>
      <c r="C73" s="3" t="s">
        <v>99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585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7">
        <f t="shared" si="2"/>
        <v>585</v>
      </c>
    </row>
    <row r="74" spans="1:18">
      <c r="A74" s="3" t="s">
        <v>24</v>
      </c>
      <c r="B74" s="3" t="s">
        <v>91</v>
      </c>
      <c r="C74" s="3" t="s">
        <v>100</v>
      </c>
      <c r="D74" s="6">
        <v>0.2286</v>
      </c>
      <c r="E74" s="6">
        <v>0</v>
      </c>
      <c r="F74" s="6">
        <v>0</v>
      </c>
      <c r="G74" s="6">
        <v>0</v>
      </c>
      <c r="H74" s="6">
        <v>0</v>
      </c>
      <c r="I74" s="6">
        <v>2896.2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7">
        <f t="shared" si="2"/>
        <v>2896.4286</v>
      </c>
    </row>
    <row r="75" spans="1:18">
      <c r="A75" s="3" t="s">
        <v>24</v>
      </c>
      <c r="B75" s="3" t="s">
        <v>91</v>
      </c>
      <c r="C75" s="3" t="s">
        <v>101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1609.05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7">
        <f t="shared" si="2"/>
        <v>1609.05</v>
      </c>
    </row>
    <row r="76" spans="1:18">
      <c r="A76" s="3" t="s">
        <v>24</v>
      </c>
      <c r="B76" s="3" t="s">
        <v>91</v>
      </c>
      <c r="C76" s="3" t="s">
        <v>102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12724.65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7">
        <f t="shared" si="2"/>
        <v>12724.65</v>
      </c>
    </row>
    <row r="77" spans="1:18">
      <c r="A77" s="3" t="s">
        <v>24</v>
      </c>
      <c r="B77" s="3" t="s">
        <v>91</v>
      </c>
      <c r="C77" s="3" t="s">
        <v>103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787.2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7">
        <f t="shared" si="2"/>
        <v>787.2</v>
      </c>
    </row>
    <row r="78" spans="1:18">
      <c r="A78" s="3" t="s">
        <v>24</v>
      </c>
      <c r="B78" s="3" t="s">
        <v>91</v>
      </c>
      <c r="C78" s="3" t="s">
        <v>104</v>
      </c>
      <c r="D78" s="6">
        <v>2.9556</v>
      </c>
      <c r="E78" s="6">
        <v>0</v>
      </c>
      <c r="F78" s="6">
        <v>0</v>
      </c>
      <c r="G78" s="6">
        <v>0</v>
      </c>
      <c r="H78" s="6">
        <v>0</v>
      </c>
      <c r="I78" s="6">
        <v>32500.35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7">
        <f t="shared" si="2"/>
        <v>32503.3056</v>
      </c>
    </row>
    <row r="79" spans="1:18">
      <c r="A79" s="3" t="s">
        <v>24</v>
      </c>
      <c r="B79" s="3" t="s">
        <v>91</v>
      </c>
      <c r="C79" s="3" t="s">
        <v>105</v>
      </c>
      <c r="D79" s="6">
        <v>0.6232</v>
      </c>
      <c r="E79" s="6">
        <v>0</v>
      </c>
      <c r="F79" s="6">
        <v>0</v>
      </c>
      <c r="G79" s="6">
        <v>0</v>
      </c>
      <c r="H79" s="6">
        <v>0</v>
      </c>
      <c r="I79" s="6">
        <v>96.45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7">
        <f t="shared" si="2"/>
        <v>97.0732</v>
      </c>
    </row>
    <row r="80" spans="1:18">
      <c r="A80" s="3" t="s">
        <v>24</v>
      </c>
      <c r="B80" s="3" t="s">
        <v>91</v>
      </c>
      <c r="C80" s="3" t="s">
        <v>106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1172.1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7">
        <f t="shared" si="2"/>
        <v>1172.1</v>
      </c>
    </row>
    <row r="81" spans="1:18">
      <c r="A81" s="3" t="s">
        <v>24</v>
      </c>
      <c r="B81" s="3" t="s">
        <v>91</v>
      </c>
      <c r="C81" s="3" t="s">
        <v>107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75.45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7">
        <f t="shared" si="2"/>
        <v>75.45</v>
      </c>
    </row>
    <row r="82" spans="1:18">
      <c r="A82" s="3" t="s">
        <v>24</v>
      </c>
      <c r="B82" s="3" t="s">
        <v>91</v>
      </c>
      <c r="C82" s="3" t="s">
        <v>108</v>
      </c>
      <c r="D82" s="6">
        <v>0.3758</v>
      </c>
      <c r="E82" s="6">
        <v>0</v>
      </c>
      <c r="F82" s="6">
        <v>0</v>
      </c>
      <c r="G82" s="6">
        <v>0</v>
      </c>
      <c r="H82" s="6">
        <v>0</v>
      </c>
      <c r="I82" s="6">
        <v>294.15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7">
        <f t="shared" si="2"/>
        <v>294.5258</v>
      </c>
    </row>
    <row r="83" spans="1:18">
      <c r="A83" s="3" t="s">
        <v>24</v>
      </c>
      <c r="B83" s="3" t="s">
        <v>91</v>
      </c>
      <c r="C83" s="3" t="s">
        <v>109</v>
      </c>
      <c r="D83" s="6">
        <v>1.1965</v>
      </c>
      <c r="E83" s="6">
        <v>0</v>
      </c>
      <c r="F83" s="6">
        <v>0</v>
      </c>
      <c r="G83" s="6">
        <v>0</v>
      </c>
      <c r="H83" s="6">
        <v>0</v>
      </c>
      <c r="I83" s="6">
        <v>657.15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7">
        <f t="shared" si="2"/>
        <v>658.3465</v>
      </c>
    </row>
    <row r="84" spans="1:18">
      <c r="A84" s="3" t="s">
        <v>24</v>
      </c>
      <c r="B84" s="3" t="s">
        <v>91</v>
      </c>
      <c r="C84" s="3" t="s">
        <v>110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169.35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7">
        <f t="shared" si="2"/>
        <v>169.35</v>
      </c>
    </row>
    <row r="85" spans="1:18">
      <c r="A85" s="3" t="s">
        <v>24</v>
      </c>
      <c r="B85" s="3" t="s">
        <v>91</v>
      </c>
      <c r="C85" s="3" t="s">
        <v>111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106.5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7">
        <f t="shared" si="2"/>
        <v>106.5</v>
      </c>
    </row>
    <row r="86" spans="1:18">
      <c r="A86" s="3" t="s">
        <v>24</v>
      </c>
      <c r="B86" s="3" t="s">
        <v>91</v>
      </c>
      <c r="C86" s="3" t="s">
        <v>112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13.95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7">
        <f t="shared" si="2"/>
        <v>13.95</v>
      </c>
    </row>
    <row r="87" spans="1:18">
      <c r="A87" s="3" t="s">
        <v>24</v>
      </c>
      <c r="B87" s="3" t="s">
        <v>91</v>
      </c>
      <c r="C87" s="3" t="s">
        <v>113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686.7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7">
        <f t="shared" si="2"/>
        <v>686.7</v>
      </c>
    </row>
    <row r="88" spans="1:18">
      <c r="A88" s="3" t="s">
        <v>24</v>
      </c>
      <c r="B88" s="3" t="s">
        <v>91</v>
      </c>
      <c r="C88" s="3" t="s">
        <v>114</v>
      </c>
      <c r="D88" s="6">
        <v>0.9166</v>
      </c>
      <c r="E88" s="6">
        <v>0</v>
      </c>
      <c r="F88" s="6">
        <v>0</v>
      </c>
      <c r="G88" s="6">
        <v>0</v>
      </c>
      <c r="H88" s="6">
        <v>0</v>
      </c>
      <c r="I88" s="6">
        <v>137700.45</v>
      </c>
      <c r="J88" s="6">
        <v>34110.26171875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7">
        <f t="shared" si="2"/>
        <v>171811.62831875</v>
      </c>
    </row>
    <row r="89" spans="1:18">
      <c r="A89" s="3" t="s">
        <v>24</v>
      </c>
      <c r="B89" s="3" t="s">
        <v>91</v>
      </c>
      <c r="C89" s="3" t="s">
        <v>115</v>
      </c>
      <c r="D89" s="6">
        <v>0.7297</v>
      </c>
      <c r="E89" s="6">
        <v>0</v>
      </c>
      <c r="F89" s="6">
        <v>0</v>
      </c>
      <c r="G89" s="6">
        <v>0</v>
      </c>
      <c r="H89" s="6">
        <v>0</v>
      </c>
      <c r="I89" s="6">
        <v>3195.45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7">
        <f t="shared" si="2"/>
        <v>3196.1797</v>
      </c>
    </row>
    <row r="90" spans="1:18">
      <c r="A90" s="3" t="s">
        <v>24</v>
      </c>
      <c r="B90" s="3" t="s">
        <v>91</v>
      </c>
      <c r="C90" s="3" t="s">
        <v>116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9395.1</v>
      </c>
      <c r="J90" s="6">
        <v>18179.55078125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7">
        <f t="shared" si="2"/>
        <v>27574.65078125</v>
      </c>
    </row>
    <row r="91" spans="1:18">
      <c r="A91" s="3" t="s">
        <v>24</v>
      </c>
      <c r="B91" s="3" t="s">
        <v>91</v>
      </c>
      <c r="C91" s="3" t="s">
        <v>117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177.3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7">
        <f t="shared" si="2"/>
        <v>177.3</v>
      </c>
    </row>
    <row r="92" spans="1:18">
      <c r="A92" s="3" t="s">
        <v>24</v>
      </c>
      <c r="B92" s="3" t="s">
        <v>91</v>
      </c>
      <c r="C92" s="3" t="s">
        <v>118</v>
      </c>
      <c r="D92" s="6">
        <v>1.7482</v>
      </c>
      <c r="E92" s="6">
        <v>0</v>
      </c>
      <c r="F92" s="6">
        <v>0</v>
      </c>
      <c r="G92" s="6">
        <v>1455.59997558594</v>
      </c>
      <c r="H92" s="6">
        <v>0</v>
      </c>
      <c r="I92" s="6">
        <v>65.1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7">
        <f t="shared" si="2"/>
        <v>1522.44817558594</v>
      </c>
    </row>
    <row r="93" spans="1:18">
      <c r="A93" s="3" t="s">
        <v>24</v>
      </c>
      <c r="B93" s="3" t="s">
        <v>91</v>
      </c>
      <c r="C93" s="3" t="s">
        <v>119</v>
      </c>
      <c r="D93" s="6">
        <v>1.5304</v>
      </c>
      <c r="E93" s="6">
        <v>0</v>
      </c>
      <c r="F93" s="6">
        <v>0</v>
      </c>
      <c r="G93" s="6">
        <v>0</v>
      </c>
      <c r="H93" s="6">
        <v>0</v>
      </c>
      <c r="I93" s="6">
        <v>414.15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7">
        <f t="shared" si="2"/>
        <v>415.6804</v>
      </c>
    </row>
    <row r="94" spans="1:18">
      <c r="A94" s="3" t="s">
        <v>24</v>
      </c>
      <c r="B94" s="3" t="s">
        <v>91</v>
      </c>
      <c r="C94" s="3" t="s">
        <v>120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42.3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7">
        <f t="shared" si="2"/>
        <v>42.3</v>
      </c>
    </row>
    <row r="95" spans="1:18">
      <c r="A95" s="3" t="s">
        <v>24</v>
      </c>
      <c r="B95" s="3" t="s">
        <v>91</v>
      </c>
      <c r="C95" s="3" t="s">
        <v>121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2729.4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7">
        <f t="shared" si="2"/>
        <v>2729.4</v>
      </c>
    </row>
    <row r="96" spans="1:18">
      <c r="A96" s="3" t="s">
        <v>24</v>
      </c>
      <c r="B96" s="3" t="s">
        <v>91</v>
      </c>
      <c r="C96" s="3" t="s">
        <v>122</v>
      </c>
      <c r="D96" s="6">
        <v>0.9428</v>
      </c>
      <c r="E96" s="6">
        <v>0</v>
      </c>
      <c r="F96" s="6">
        <v>0</v>
      </c>
      <c r="G96" s="6">
        <v>0</v>
      </c>
      <c r="H96" s="6">
        <v>0</v>
      </c>
      <c r="I96" s="6">
        <v>70.65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7">
        <f t="shared" si="2"/>
        <v>71.5928</v>
      </c>
    </row>
    <row r="97" spans="1:18">
      <c r="A97" s="3" t="s">
        <v>24</v>
      </c>
      <c r="B97" s="3" t="s">
        <v>91</v>
      </c>
      <c r="C97" s="3" t="s">
        <v>123</v>
      </c>
      <c r="D97" s="6">
        <v>0.0029</v>
      </c>
      <c r="E97" s="6">
        <v>0</v>
      </c>
      <c r="F97" s="6">
        <v>0</v>
      </c>
      <c r="G97" s="6">
        <v>144.800003051758</v>
      </c>
      <c r="H97" s="6">
        <v>0</v>
      </c>
      <c r="I97" s="6">
        <v>5984.1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7">
        <f t="shared" si="2"/>
        <v>6128.90290305176</v>
      </c>
    </row>
    <row r="98" spans="1:18">
      <c r="A98" s="3" t="s">
        <v>24</v>
      </c>
      <c r="B98" s="3" t="s">
        <v>91</v>
      </c>
      <c r="C98" s="3" t="s">
        <v>124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1255.35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7">
        <f t="shared" si="2"/>
        <v>1255.35</v>
      </c>
    </row>
    <row r="99" spans="1:18">
      <c r="A99" s="3" t="s">
        <v>24</v>
      </c>
      <c r="B99" s="3" t="s">
        <v>91</v>
      </c>
      <c r="C99" s="3" t="s">
        <v>125</v>
      </c>
      <c r="D99" s="6">
        <v>0.3809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7">
        <f t="shared" si="2"/>
        <v>0.3809</v>
      </c>
    </row>
    <row r="100" spans="1:18">
      <c r="A100" s="3" t="s">
        <v>24</v>
      </c>
      <c r="B100" s="3" t="s">
        <v>91</v>
      </c>
      <c r="C100" s="3" t="s">
        <v>126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948.75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7">
        <f t="shared" si="2"/>
        <v>948.75</v>
      </c>
    </row>
    <row r="101" spans="1:18">
      <c r="A101" s="3" t="s">
        <v>24</v>
      </c>
      <c r="B101" s="3" t="s">
        <v>91</v>
      </c>
      <c r="C101" s="3" t="s">
        <v>127</v>
      </c>
      <c r="D101" s="6">
        <v>0.6049</v>
      </c>
      <c r="E101" s="6">
        <v>0</v>
      </c>
      <c r="F101" s="6">
        <v>0</v>
      </c>
      <c r="G101" s="6">
        <v>250</v>
      </c>
      <c r="H101" s="6">
        <v>0</v>
      </c>
      <c r="I101" s="6">
        <v>225.3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7">
        <f t="shared" si="2"/>
        <v>475.9049</v>
      </c>
    </row>
    <row r="102" spans="1:18">
      <c r="A102" s="3" t="s">
        <v>24</v>
      </c>
      <c r="B102" s="3" t="s">
        <v>91</v>
      </c>
      <c r="C102" s="3" t="s">
        <v>128</v>
      </c>
      <c r="D102" s="6">
        <v>1.5671</v>
      </c>
      <c r="E102" s="6">
        <v>0</v>
      </c>
      <c r="F102" s="6">
        <v>0</v>
      </c>
      <c r="G102" s="6">
        <v>1059.19995117187</v>
      </c>
      <c r="H102" s="6">
        <v>0</v>
      </c>
      <c r="I102" s="6">
        <v>22.5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7">
        <f t="shared" ref="R102:R133" si="3">SUM(D102:Q102)</f>
        <v>1083.26705117187</v>
      </c>
    </row>
    <row r="103" spans="1:18">
      <c r="A103" s="3" t="s">
        <v>24</v>
      </c>
      <c r="B103" s="3" t="s">
        <v>91</v>
      </c>
      <c r="C103" s="3" t="s">
        <v>129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133.5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7">
        <f t="shared" si="3"/>
        <v>133.5</v>
      </c>
    </row>
    <row r="104" spans="1:18">
      <c r="A104" s="3" t="s">
        <v>24</v>
      </c>
      <c r="B104" s="3" t="s">
        <v>91</v>
      </c>
      <c r="C104" s="3" t="s">
        <v>130</v>
      </c>
      <c r="D104" s="6">
        <v>0.6352</v>
      </c>
      <c r="E104" s="6">
        <v>0</v>
      </c>
      <c r="F104" s="6">
        <v>0</v>
      </c>
      <c r="G104" s="6">
        <v>0</v>
      </c>
      <c r="H104" s="6">
        <v>0</v>
      </c>
      <c r="I104" s="6">
        <v>18135.9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7">
        <f t="shared" si="3"/>
        <v>18136.5352</v>
      </c>
    </row>
    <row r="105" spans="1:18">
      <c r="A105" s="3" t="s">
        <v>24</v>
      </c>
      <c r="B105" s="3" t="s">
        <v>91</v>
      </c>
      <c r="C105" s="3" t="s">
        <v>131</v>
      </c>
      <c r="D105" s="6">
        <v>0.7001</v>
      </c>
      <c r="E105" s="6">
        <v>0</v>
      </c>
      <c r="F105" s="6">
        <v>0</v>
      </c>
      <c r="G105" s="6">
        <v>278.799987792969</v>
      </c>
      <c r="H105" s="6">
        <v>0</v>
      </c>
      <c r="I105" s="6">
        <v>545.55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7">
        <f t="shared" si="3"/>
        <v>825.050087792969</v>
      </c>
    </row>
    <row r="106" spans="1:18">
      <c r="A106" s="3" t="s">
        <v>24</v>
      </c>
      <c r="B106" s="3" t="s">
        <v>91</v>
      </c>
      <c r="C106" s="3" t="s">
        <v>132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888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7">
        <f t="shared" si="3"/>
        <v>888</v>
      </c>
    </row>
    <row r="107" spans="1:18">
      <c r="A107" s="3" t="s">
        <v>24</v>
      </c>
      <c r="B107" s="3" t="s">
        <v>91</v>
      </c>
      <c r="C107" s="3" t="s">
        <v>133</v>
      </c>
      <c r="D107" s="6">
        <v>3.5844</v>
      </c>
      <c r="E107" s="6">
        <v>0</v>
      </c>
      <c r="F107" s="6">
        <v>0</v>
      </c>
      <c r="G107" s="6">
        <v>2048</v>
      </c>
      <c r="H107" s="6">
        <v>0</v>
      </c>
      <c r="I107" s="6">
        <v>9498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7">
        <f t="shared" si="3"/>
        <v>11549.5844</v>
      </c>
    </row>
    <row r="108" spans="1:18">
      <c r="A108" s="3" t="s">
        <v>24</v>
      </c>
      <c r="B108" s="3" t="s">
        <v>91</v>
      </c>
      <c r="C108" s="3" t="s">
        <v>134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7">
        <f t="shared" si="3"/>
        <v>0</v>
      </c>
    </row>
    <row r="109" spans="1:18">
      <c r="A109" s="3" t="s">
        <v>24</v>
      </c>
      <c r="B109" s="3" t="s">
        <v>91</v>
      </c>
      <c r="C109" s="3" t="s">
        <v>135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128.55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7">
        <f t="shared" si="3"/>
        <v>128.55</v>
      </c>
    </row>
    <row r="110" spans="1:18">
      <c r="A110" s="3" t="s">
        <v>24</v>
      </c>
      <c r="B110" s="3" t="s">
        <v>91</v>
      </c>
      <c r="C110" s="3" t="s">
        <v>136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18.15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7">
        <f t="shared" si="3"/>
        <v>18.15</v>
      </c>
    </row>
    <row r="111" spans="1:18">
      <c r="A111" s="3" t="s">
        <v>24</v>
      </c>
      <c r="B111" s="3" t="s">
        <v>91</v>
      </c>
      <c r="C111" s="3" t="s">
        <v>137</v>
      </c>
      <c r="D111" s="6">
        <v>0.4295</v>
      </c>
      <c r="E111" s="6">
        <v>0</v>
      </c>
      <c r="F111" s="6">
        <v>0</v>
      </c>
      <c r="G111" s="6">
        <v>0</v>
      </c>
      <c r="H111" s="6">
        <v>0</v>
      </c>
      <c r="I111" s="6">
        <v>0.15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7">
        <f t="shared" si="3"/>
        <v>0.5795</v>
      </c>
    </row>
    <row r="112" spans="1:18">
      <c r="A112" s="3" t="s">
        <v>24</v>
      </c>
      <c r="B112" s="3" t="s">
        <v>91</v>
      </c>
      <c r="C112" s="3" t="s">
        <v>138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1.95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7">
        <f t="shared" si="3"/>
        <v>1.95</v>
      </c>
    </row>
    <row r="113" spans="1:18">
      <c r="A113" s="3" t="s">
        <v>24</v>
      </c>
      <c r="B113" s="3" t="s">
        <v>91</v>
      </c>
      <c r="C113" s="3" t="s">
        <v>139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31044.6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7">
        <f t="shared" si="3"/>
        <v>31044.6</v>
      </c>
    </row>
    <row r="114" spans="1:18">
      <c r="A114" s="3" t="s">
        <v>24</v>
      </c>
      <c r="B114" s="3" t="s">
        <v>91</v>
      </c>
      <c r="C114" s="3" t="s">
        <v>140</v>
      </c>
      <c r="D114" s="6">
        <v>2.0167</v>
      </c>
      <c r="E114" s="6">
        <v>0</v>
      </c>
      <c r="F114" s="6">
        <v>0</v>
      </c>
      <c r="G114" s="6">
        <v>0</v>
      </c>
      <c r="H114" s="6">
        <v>0</v>
      </c>
      <c r="I114" s="6">
        <v>1949.55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7">
        <f t="shared" si="3"/>
        <v>1951.5667</v>
      </c>
    </row>
    <row r="115" spans="1:18">
      <c r="A115" s="3" t="s">
        <v>24</v>
      </c>
      <c r="B115" s="3" t="s">
        <v>91</v>
      </c>
      <c r="C115" s="3" t="s">
        <v>141</v>
      </c>
      <c r="D115" s="6">
        <v>0.2819</v>
      </c>
      <c r="E115" s="6">
        <v>0</v>
      </c>
      <c r="F115" s="6">
        <v>0</v>
      </c>
      <c r="G115" s="6">
        <v>0</v>
      </c>
      <c r="H115" s="6">
        <v>0</v>
      </c>
      <c r="I115" s="6">
        <v>52305.9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7">
        <f t="shared" si="3"/>
        <v>52306.1819</v>
      </c>
    </row>
    <row r="116" spans="1:18">
      <c r="A116" s="3" t="s">
        <v>24</v>
      </c>
      <c r="B116" s="3" t="s">
        <v>91</v>
      </c>
      <c r="C116" s="3" t="s">
        <v>142</v>
      </c>
      <c r="D116" s="6">
        <v>1.3427</v>
      </c>
      <c r="E116" s="6">
        <v>0</v>
      </c>
      <c r="F116" s="6">
        <v>0</v>
      </c>
      <c r="G116" s="6">
        <v>296.399993896484</v>
      </c>
      <c r="H116" s="6">
        <v>0</v>
      </c>
      <c r="I116" s="6">
        <v>70.2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7">
        <f t="shared" si="3"/>
        <v>367.942693896484</v>
      </c>
    </row>
    <row r="117" spans="1:18">
      <c r="A117" s="3" t="s">
        <v>24</v>
      </c>
      <c r="B117" s="3" t="s">
        <v>91</v>
      </c>
      <c r="C117" s="3" t="s">
        <v>143</v>
      </c>
      <c r="D117" s="6">
        <v>0.5462</v>
      </c>
      <c r="E117" s="6">
        <v>0</v>
      </c>
      <c r="F117" s="6">
        <v>0</v>
      </c>
      <c r="G117" s="6">
        <v>0</v>
      </c>
      <c r="H117" s="6">
        <v>0</v>
      </c>
      <c r="I117" s="6">
        <v>11.85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7">
        <f t="shared" si="3"/>
        <v>12.3962</v>
      </c>
    </row>
    <row r="118" spans="1:18">
      <c r="A118" s="3" t="s">
        <v>24</v>
      </c>
      <c r="B118" s="3" t="s">
        <v>91</v>
      </c>
      <c r="C118" s="3" t="s">
        <v>144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91.2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7">
        <f t="shared" si="3"/>
        <v>91.2</v>
      </c>
    </row>
    <row r="119" spans="1:18">
      <c r="A119" s="3" t="s">
        <v>24</v>
      </c>
      <c r="B119" s="3" t="s">
        <v>91</v>
      </c>
      <c r="C119" s="3" t="s">
        <v>145</v>
      </c>
      <c r="D119" s="6">
        <v>2.0375</v>
      </c>
      <c r="E119" s="6">
        <v>0</v>
      </c>
      <c r="F119" s="6">
        <v>0</v>
      </c>
      <c r="G119" s="6">
        <v>0</v>
      </c>
      <c r="H119" s="6">
        <v>0</v>
      </c>
      <c r="I119" s="6">
        <v>22.95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7">
        <f t="shared" si="3"/>
        <v>24.9875</v>
      </c>
    </row>
    <row r="120" spans="1:18">
      <c r="A120" s="3" t="s">
        <v>24</v>
      </c>
      <c r="B120" s="3" t="s">
        <v>91</v>
      </c>
      <c r="C120" s="3" t="s">
        <v>146</v>
      </c>
      <c r="D120" s="6">
        <v>0.5702</v>
      </c>
      <c r="E120" s="6">
        <v>0</v>
      </c>
      <c r="F120" s="6">
        <v>0</v>
      </c>
      <c r="G120" s="6">
        <v>0</v>
      </c>
      <c r="H120" s="6">
        <v>0</v>
      </c>
      <c r="I120" s="6">
        <v>1101.15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7">
        <f t="shared" si="3"/>
        <v>1101.7202</v>
      </c>
    </row>
    <row r="121" spans="1:18">
      <c r="A121" s="3" t="s">
        <v>24</v>
      </c>
      <c r="B121" s="3" t="s">
        <v>91</v>
      </c>
      <c r="C121" s="3" t="s">
        <v>147</v>
      </c>
      <c r="D121" s="6">
        <v>0.8363</v>
      </c>
      <c r="E121" s="6">
        <v>0</v>
      </c>
      <c r="F121" s="6">
        <v>0</v>
      </c>
      <c r="G121" s="6">
        <v>0</v>
      </c>
      <c r="H121" s="6">
        <v>0</v>
      </c>
      <c r="I121" s="6">
        <v>42.75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7">
        <f t="shared" si="3"/>
        <v>43.5863</v>
      </c>
    </row>
    <row r="122" spans="1:18">
      <c r="A122" s="3" t="s">
        <v>24</v>
      </c>
      <c r="B122" s="3" t="s">
        <v>91</v>
      </c>
      <c r="C122" s="3" t="s">
        <v>148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830.4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7">
        <f t="shared" si="3"/>
        <v>830.4</v>
      </c>
    </row>
    <row r="123" spans="1:18">
      <c r="A123" s="3" t="s">
        <v>24</v>
      </c>
      <c r="B123" s="3" t="s">
        <v>91</v>
      </c>
      <c r="C123" s="3" t="s">
        <v>149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7">
        <f t="shared" si="3"/>
        <v>0</v>
      </c>
    </row>
    <row r="124" spans="1:18">
      <c r="A124" s="3" t="s">
        <v>24</v>
      </c>
      <c r="B124" s="3" t="s">
        <v>91</v>
      </c>
      <c r="C124" s="3" t="s">
        <v>150</v>
      </c>
      <c r="D124" s="6">
        <v>0.0317</v>
      </c>
      <c r="E124" s="6">
        <v>0</v>
      </c>
      <c r="F124" s="6">
        <v>0</v>
      </c>
      <c r="G124" s="6">
        <v>0</v>
      </c>
      <c r="H124" s="6">
        <v>0</v>
      </c>
      <c r="I124" s="6">
        <v>321.15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7">
        <f t="shared" si="3"/>
        <v>321.1817</v>
      </c>
    </row>
    <row r="125" spans="1:18">
      <c r="A125" s="3" t="s">
        <v>24</v>
      </c>
      <c r="B125" s="3" t="s">
        <v>91</v>
      </c>
      <c r="C125" s="3" t="s">
        <v>151</v>
      </c>
      <c r="D125" s="6">
        <v>0.4216</v>
      </c>
      <c r="E125" s="6">
        <v>0</v>
      </c>
      <c r="F125" s="6">
        <v>0</v>
      </c>
      <c r="G125" s="6">
        <v>0</v>
      </c>
      <c r="H125" s="6">
        <v>0</v>
      </c>
      <c r="I125" s="6">
        <v>37229.1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7">
        <f t="shared" si="3"/>
        <v>37229.5216</v>
      </c>
    </row>
    <row r="126" spans="1:18">
      <c r="A126" s="3" t="s">
        <v>24</v>
      </c>
      <c r="B126" s="3" t="s">
        <v>91</v>
      </c>
      <c r="C126" s="3" t="s">
        <v>152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116.25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7">
        <f t="shared" si="3"/>
        <v>116.25</v>
      </c>
    </row>
    <row r="127" spans="1:18">
      <c r="A127" s="3" t="s">
        <v>24</v>
      </c>
      <c r="B127" s="3" t="s">
        <v>91</v>
      </c>
      <c r="C127" s="3" t="s">
        <v>153</v>
      </c>
      <c r="D127" s="6">
        <v>0.0853</v>
      </c>
      <c r="E127" s="6">
        <v>0</v>
      </c>
      <c r="F127" s="6">
        <v>0</v>
      </c>
      <c r="G127" s="6">
        <v>0</v>
      </c>
      <c r="H127" s="6">
        <v>0</v>
      </c>
      <c r="I127" s="6">
        <v>1032.6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7">
        <f t="shared" si="3"/>
        <v>1032.6853</v>
      </c>
    </row>
    <row r="128" spans="1:18">
      <c r="A128" s="3" t="s">
        <v>24</v>
      </c>
      <c r="B128" s="3" t="s">
        <v>91</v>
      </c>
      <c r="C128" s="3" t="s">
        <v>154</v>
      </c>
      <c r="D128" s="6">
        <v>1.0352</v>
      </c>
      <c r="E128" s="6">
        <v>0</v>
      </c>
      <c r="F128" s="6">
        <v>0</v>
      </c>
      <c r="G128" s="6">
        <v>0</v>
      </c>
      <c r="H128" s="6">
        <v>0</v>
      </c>
      <c r="I128" s="6">
        <v>7775.55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7">
        <f t="shared" si="3"/>
        <v>7776.5852</v>
      </c>
    </row>
    <row r="129" spans="1:18">
      <c r="A129" s="3" t="s">
        <v>24</v>
      </c>
      <c r="B129" s="3" t="s">
        <v>91</v>
      </c>
      <c r="C129" s="3" t="s">
        <v>155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297.9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7">
        <f t="shared" si="3"/>
        <v>297.9</v>
      </c>
    </row>
    <row r="130" spans="1:18">
      <c r="A130" s="3" t="s">
        <v>24</v>
      </c>
      <c r="B130" s="3" t="s">
        <v>91</v>
      </c>
      <c r="C130" s="3" t="s">
        <v>156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278.1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7">
        <f t="shared" si="3"/>
        <v>278.1</v>
      </c>
    </row>
    <row r="131" spans="1:18">
      <c r="A131" s="3" t="s">
        <v>24</v>
      </c>
      <c r="B131" s="3" t="s">
        <v>91</v>
      </c>
      <c r="C131" s="3" t="s">
        <v>157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7">
        <f t="shared" si="3"/>
        <v>0</v>
      </c>
    </row>
    <row r="132" spans="1:18">
      <c r="A132" s="3" t="s">
        <v>24</v>
      </c>
      <c r="B132" s="3" t="s">
        <v>91</v>
      </c>
      <c r="C132" s="3" t="s">
        <v>158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71.25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7">
        <f t="shared" si="3"/>
        <v>71.25</v>
      </c>
    </row>
    <row r="133" spans="1:18">
      <c r="A133" s="3" t="s">
        <v>24</v>
      </c>
      <c r="B133" s="3" t="s">
        <v>91</v>
      </c>
      <c r="C133" s="3" t="s">
        <v>159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445.65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7">
        <f t="shared" si="3"/>
        <v>445.65</v>
      </c>
    </row>
    <row r="134" spans="1:18">
      <c r="A134" s="3" t="s">
        <v>24</v>
      </c>
      <c r="B134" s="3" t="s">
        <v>91</v>
      </c>
      <c r="C134" s="3" t="s">
        <v>160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384.75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7">
        <f t="shared" ref="R134:R165" si="4">SUM(D134:Q134)</f>
        <v>384.75</v>
      </c>
    </row>
    <row r="135" spans="1:18">
      <c r="A135" s="3" t="s">
        <v>24</v>
      </c>
      <c r="B135" s="3" t="s">
        <v>91</v>
      </c>
      <c r="C135" s="3" t="s">
        <v>161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1377.6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7">
        <f t="shared" si="4"/>
        <v>1377.6</v>
      </c>
    </row>
    <row r="136" spans="1:18">
      <c r="A136" s="3" t="s">
        <v>24</v>
      </c>
      <c r="B136" s="3" t="s">
        <v>91</v>
      </c>
      <c r="C136" s="3" t="s">
        <v>162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158.85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7">
        <f t="shared" si="4"/>
        <v>158.85</v>
      </c>
    </row>
    <row r="137" spans="1:18">
      <c r="A137" s="3" t="s">
        <v>24</v>
      </c>
      <c r="B137" s="3" t="s">
        <v>91</v>
      </c>
      <c r="C137" s="3" t="s">
        <v>163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2602.35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7">
        <f t="shared" si="4"/>
        <v>2602.35</v>
      </c>
    </row>
    <row r="138" spans="1:18">
      <c r="A138" s="3" t="s">
        <v>24</v>
      </c>
      <c r="B138" s="3" t="s">
        <v>91</v>
      </c>
      <c r="C138" s="3" t="s">
        <v>164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12856.05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7">
        <f t="shared" si="4"/>
        <v>12856.05</v>
      </c>
    </row>
    <row r="139" spans="1:18">
      <c r="A139" s="3" t="s">
        <v>24</v>
      </c>
      <c r="B139" s="3" t="s">
        <v>91</v>
      </c>
      <c r="C139" s="3" t="s">
        <v>165</v>
      </c>
      <c r="D139" s="6">
        <v>1.7921</v>
      </c>
      <c r="E139" s="6">
        <v>0</v>
      </c>
      <c r="F139" s="6">
        <v>0</v>
      </c>
      <c r="G139" s="6">
        <v>0</v>
      </c>
      <c r="H139" s="6">
        <v>0</v>
      </c>
      <c r="I139" s="6">
        <v>145.95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7">
        <f t="shared" si="4"/>
        <v>147.7421</v>
      </c>
    </row>
    <row r="140" spans="1:18">
      <c r="A140" s="3" t="s">
        <v>24</v>
      </c>
      <c r="B140" s="3" t="s">
        <v>91</v>
      </c>
      <c r="C140" s="3" t="s">
        <v>166</v>
      </c>
      <c r="D140" s="6">
        <v>1.5836</v>
      </c>
      <c r="E140" s="6">
        <v>0</v>
      </c>
      <c r="F140" s="6">
        <v>0</v>
      </c>
      <c r="G140" s="6">
        <v>0</v>
      </c>
      <c r="H140" s="6">
        <v>0</v>
      </c>
      <c r="I140" s="6">
        <v>45.75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7">
        <f t="shared" si="4"/>
        <v>47.3336</v>
      </c>
    </row>
    <row r="141" spans="1:18">
      <c r="A141" s="3" t="s">
        <v>24</v>
      </c>
      <c r="B141" s="3" t="s">
        <v>167</v>
      </c>
      <c r="C141" s="3" t="s">
        <v>168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10239.9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7">
        <f t="shared" si="4"/>
        <v>10239.9</v>
      </c>
    </row>
    <row r="142" spans="1:18">
      <c r="A142" s="3" t="s">
        <v>24</v>
      </c>
      <c r="B142" s="3" t="s">
        <v>167</v>
      </c>
      <c r="C142" s="3" t="s">
        <v>169</v>
      </c>
      <c r="D142" s="6">
        <v>4.7402</v>
      </c>
      <c r="E142" s="6">
        <v>0</v>
      </c>
      <c r="F142" s="6">
        <v>0</v>
      </c>
      <c r="G142" s="6">
        <v>0</v>
      </c>
      <c r="H142" s="6">
        <v>0</v>
      </c>
      <c r="I142" s="6">
        <v>21515.55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7">
        <f t="shared" si="4"/>
        <v>21520.2902</v>
      </c>
    </row>
    <row r="143" spans="1:18">
      <c r="A143" s="3" t="s">
        <v>24</v>
      </c>
      <c r="B143" s="3" t="s">
        <v>167</v>
      </c>
      <c r="C143" s="3" t="s">
        <v>170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7">
        <f t="shared" si="4"/>
        <v>0</v>
      </c>
    </row>
    <row r="144" spans="1:18">
      <c r="A144" s="3" t="s">
        <v>24</v>
      </c>
      <c r="B144" s="3" t="s">
        <v>167</v>
      </c>
      <c r="C144" s="3" t="s">
        <v>171</v>
      </c>
      <c r="D144" s="6">
        <v>4.7788</v>
      </c>
      <c r="E144" s="6">
        <v>0</v>
      </c>
      <c r="F144" s="6">
        <v>0</v>
      </c>
      <c r="G144" s="6">
        <v>2736.80004882813</v>
      </c>
      <c r="H144" s="6">
        <v>0</v>
      </c>
      <c r="I144" s="6">
        <v>313796.1</v>
      </c>
      <c r="J144" s="6">
        <v>69727.0625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7">
        <f t="shared" si="4"/>
        <v>386264.741348828</v>
      </c>
    </row>
    <row r="145" spans="1:18">
      <c r="A145" s="3" t="s">
        <v>24</v>
      </c>
      <c r="B145" s="3" t="s">
        <v>167</v>
      </c>
      <c r="C145" s="3" t="s">
        <v>172</v>
      </c>
      <c r="D145" s="6">
        <v>0.9032</v>
      </c>
      <c r="E145" s="6">
        <v>0</v>
      </c>
      <c r="F145" s="6">
        <v>0</v>
      </c>
      <c r="G145" s="6">
        <v>0</v>
      </c>
      <c r="H145" s="6">
        <v>0</v>
      </c>
      <c r="I145" s="6">
        <v>179782.35</v>
      </c>
      <c r="J145" s="6">
        <v>94615.5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7">
        <f t="shared" si="4"/>
        <v>274398.7532</v>
      </c>
    </row>
    <row r="146" spans="1:18">
      <c r="A146" s="3" t="s">
        <v>24</v>
      </c>
      <c r="B146" s="3" t="s">
        <v>167</v>
      </c>
      <c r="C146" s="3" t="s">
        <v>173</v>
      </c>
      <c r="D146" s="6">
        <v>1.2002</v>
      </c>
      <c r="E146" s="6">
        <v>0</v>
      </c>
      <c r="F146" s="6">
        <v>0</v>
      </c>
      <c r="G146" s="6">
        <v>0</v>
      </c>
      <c r="H146" s="6">
        <v>0</v>
      </c>
      <c r="I146" s="6">
        <v>83323.8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7">
        <f t="shared" si="4"/>
        <v>83325.0002</v>
      </c>
    </row>
    <row r="147" spans="1:18">
      <c r="A147" s="3" t="s">
        <v>24</v>
      </c>
      <c r="B147" s="3" t="s">
        <v>167</v>
      </c>
      <c r="C147" s="3" t="s">
        <v>174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12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7">
        <f t="shared" si="4"/>
        <v>12</v>
      </c>
    </row>
    <row r="148" spans="1:18">
      <c r="A148" s="3" t="s">
        <v>24</v>
      </c>
      <c r="B148" s="3" t="s">
        <v>167</v>
      </c>
      <c r="C148" s="3" t="s">
        <v>175</v>
      </c>
      <c r="D148" s="6">
        <v>6.0487</v>
      </c>
      <c r="E148" s="6">
        <v>0</v>
      </c>
      <c r="F148" s="6">
        <v>0</v>
      </c>
      <c r="G148" s="6">
        <v>0</v>
      </c>
      <c r="H148" s="6">
        <v>0</v>
      </c>
      <c r="I148" s="6">
        <v>677168.1</v>
      </c>
      <c r="J148" s="6">
        <v>234138.53125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7">
        <f t="shared" si="4"/>
        <v>911312.67995</v>
      </c>
    </row>
    <row r="149" spans="1:18">
      <c r="A149" s="3" t="s">
        <v>24</v>
      </c>
      <c r="B149" s="3" t="s">
        <v>167</v>
      </c>
      <c r="C149" s="3" t="s">
        <v>176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1149.6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7">
        <f t="shared" si="4"/>
        <v>1149.6</v>
      </c>
    </row>
    <row r="150" spans="1:18">
      <c r="A150" s="3" t="s">
        <v>24</v>
      </c>
      <c r="B150" s="3" t="s">
        <v>167</v>
      </c>
      <c r="C150" s="3" t="s">
        <v>177</v>
      </c>
      <c r="D150" s="6">
        <v>2.1014</v>
      </c>
      <c r="E150" s="6">
        <v>0</v>
      </c>
      <c r="F150" s="6">
        <v>0</v>
      </c>
      <c r="G150" s="6">
        <v>0</v>
      </c>
      <c r="H150" s="6">
        <v>0</v>
      </c>
      <c r="I150" s="6">
        <v>183261.3</v>
      </c>
      <c r="J150" s="6">
        <v>89390.703125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7">
        <f t="shared" si="4"/>
        <v>272654.104525</v>
      </c>
    </row>
    <row r="151" spans="1:18">
      <c r="A151" s="3" t="s">
        <v>24</v>
      </c>
      <c r="B151" s="3" t="s">
        <v>167</v>
      </c>
      <c r="C151" s="3" t="s">
        <v>178</v>
      </c>
      <c r="D151" s="6">
        <v>9.9284</v>
      </c>
      <c r="E151" s="6">
        <v>0</v>
      </c>
      <c r="F151" s="6">
        <v>0</v>
      </c>
      <c r="G151" s="6">
        <v>5320.39990234375</v>
      </c>
      <c r="H151" s="6">
        <v>0</v>
      </c>
      <c r="I151" s="6">
        <v>89154.6</v>
      </c>
      <c r="J151" s="6">
        <v>112794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7">
        <f t="shared" si="4"/>
        <v>207278.928302344</v>
      </c>
    </row>
    <row r="152" spans="1:18">
      <c r="A152" s="3" t="s">
        <v>24</v>
      </c>
      <c r="B152" s="3" t="s">
        <v>167</v>
      </c>
      <c r="C152" s="3" t="s">
        <v>179</v>
      </c>
      <c r="D152" s="6">
        <v>2.4258</v>
      </c>
      <c r="E152" s="6">
        <v>0</v>
      </c>
      <c r="F152" s="6">
        <v>0</v>
      </c>
      <c r="G152" s="6">
        <v>0</v>
      </c>
      <c r="H152" s="6">
        <v>0</v>
      </c>
      <c r="I152" s="6">
        <v>107754</v>
      </c>
      <c r="J152" s="6">
        <v>104551.6796875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7">
        <f t="shared" si="4"/>
        <v>212308.1054875</v>
      </c>
    </row>
    <row r="153" spans="1:18">
      <c r="A153" s="3" t="s">
        <v>24</v>
      </c>
      <c r="B153" s="3" t="s">
        <v>167</v>
      </c>
      <c r="C153" s="3" t="s">
        <v>180</v>
      </c>
      <c r="D153" s="6">
        <v>0.5482</v>
      </c>
      <c r="E153" s="6">
        <v>0</v>
      </c>
      <c r="F153" s="6">
        <v>0</v>
      </c>
      <c r="G153" s="6">
        <v>0</v>
      </c>
      <c r="H153" s="6">
        <v>0</v>
      </c>
      <c r="I153" s="6">
        <v>5269.35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7">
        <f t="shared" si="4"/>
        <v>5269.8982</v>
      </c>
    </row>
    <row r="154" spans="1:18">
      <c r="A154" s="3" t="s">
        <v>24</v>
      </c>
      <c r="B154" s="3" t="s">
        <v>167</v>
      </c>
      <c r="C154" s="3" t="s">
        <v>181</v>
      </c>
      <c r="D154" s="6">
        <v>0.3077</v>
      </c>
      <c r="E154" s="6">
        <v>0</v>
      </c>
      <c r="F154" s="6">
        <v>0</v>
      </c>
      <c r="G154" s="6">
        <v>0</v>
      </c>
      <c r="H154" s="6">
        <v>0</v>
      </c>
      <c r="I154" s="6">
        <v>70511.4</v>
      </c>
      <c r="J154" s="6">
        <v>242790.796875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7">
        <f t="shared" si="4"/>
        <v>313302.504575</v>
      </c>
    </row>
    <row r="155" spans="1:18">
      <c r="A155" s="3" t="s">
        <v>24</v>
      </c>
      <c r="B155" s="3" t="s">
        <v>167</v>
      </c>
      <c r="C155" s="3" t="s">
        <v>182</v>
      </c>
      <c r="D155" s="6">
        <v>1.0564</v>
      </c>
      <c r="E155" s="6">
        <v>0</v>
      </c>
      <c r="F155" s="6">
        <v>0</v>
      </c>
      <c r="G155" s="6">
        <v>0</v>
      </c>
      <c r="H155" s="6">
        <v>0</v>
      </c>
      <c r="I155" s="6">
        <v>87.45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7">
        <f t="shared" si="4"/>
        <v>88.5064</v>
      </c>
    </row>
    <row r="156" spans="1:18">
      <c r="A156" s="3" t="s">
        <v>24</v>
      </c>
      <c r="B156" s="3" t="s">
        <v>167</v>
      </c>
      <c r="C156" s="3" t="s">
        <v>183</v>
      </c>
      <c r="D156" s="6">
        <v>6.5174</v>
      </c>
      <c r="E156" s="6">
        <v>0</v>
      </c>
      <c r="F156" s="6">
        <v>0</v>
      </c>
      <c r="G156" s="6">
        <v>3944.80004882813</v>
      </c>
      <c r="H156" s="6">
        <v>0</v>
      </c>
      <c r="I156" s="6">
        <v>311333.25</v>
      </c>
      <c r="J156" s="6">
        <v>124948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7">
        <f t="shared" si="4"/>
        <v>440232.567448828</v>
      </c>
    </row>
    <row r="157" spans="1:18">
      <c r="A157" s="3" t="s">
        <v>24</v>
      </c>
      <c r="B157" s="3" t="s">
        <v>167</v>
      </c>
      <c r="C157" s="3" t="s">
        <v>184</v>
      </c>
      <c r="D157" s="6">
        <v>2.4912</v>
      </c>
      <c r="E157" s="6">
        <v>0</v>
      </c>
      <c r="F157" s="6">
        <v>0</v>
      </c>
      <c r="G157" s="6">
        <v>0</v>
      </c>
      <c r="H157" s="6">
        <v>0</v>
      </c>
      <c r="I157" s="6">
        <v>14136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7">
        <f t="shared" si="4"/>
        <v>14138.4912</v>
      </c>
    </row>
    <row r="158" spans="1:18">
      <c r="A158" s="3" t="s">
        <v>24</v>
      </c>
      <c r="B158" s="3" t="s">
        <v>185</v>
      </c>
      <c r="C158" s="3" t="s">
        <v>186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5.4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7">
        <f t="shared" si="4"/>
        <v>5.4</v>
      </c>
    </row>
    <row r="159" spans="1:18">
      <c r="A159" s="3" t="s">
        <v>24</v>
      </c>
      <c r="B159" s="3" t="s">
        <v>185</v>
      </c>
      <c r="C159" s="3" t="s">
        <v>187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53.4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7">
        <f t="shared" si="4"/>
        <v>53.4</v>
      </c>
    </row>
    <row r="160" spans="1:18">
      <c r="A160" s="3" t="s">
        <v>24</v>
      </c>
      <c r="B160" s="3" t="s">
        <v>185</v>
      </c>
      <c r="C160" s="3" t="s">
        <v>188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7.35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7">
        <f t="shared" si="4"/>
        <v>7.35</v>
      </c>
    </row>
    <row r="161" spans="1:18">
      <c r="A161" s="3" t="s">
        <v>24</v>
      </c>
      <c r="B161" s="3" t="s">
        <v>185</v>
      </c>
      <c r="C161" s="3" t="s">
        <v>189</v>
      </c>
      <c r="D161" s="6">
        <v>1.0019</v>
      </c>
      <c r="E161" s="6">
        <v>0</v>
      </c>
      <c r="F161" s="6">
        <v>0</v>
      </c>
      <c r="G161" s="6">
        <v>10666.400390625</v>
      </c>
      <c r="H161" s="6">
        <v>0</v>
      </c>
      <c r="I161" s="6">
        <v>44.55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7">
        <f t="shared" si="4"/>
        <v>10711.952290625</v>
      </c>
    </row>
    <row r="162" spans="1:18">
      <c r="A162" s="3" t="s">
        <v>24</v>
      </c>
      <c r="B162" s="3" t="s">
        <v>185</v>
      </c>
      <c r="C162" s="3" t="s">
        <v>190</v>
      </c>
      <c r="D162" s="6">
        <v>5.778</v>
      </c>
      <c r="E162" s="6">
        <v>0</v>
      </c>
      <c r="F162" s="6">
        <v>0</v>
      </c>
      <c r="G162" s="6">
        <v>3160.80004882813</v>
      </c>
      <c r="H162" s="6">
        <v>0</v>
      </c>
      <c r="I162" s="6">
        <v>0.3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7">
        <f t="shared" si="4"/>
        <v>3166.87804882812</v>
      </c>
    </row>
    <row r="163" spans="1:18">
      <c r="A163" s="3" t="s">
        <v>24</v>
      </c>
      <c r="B163" s="3" t="s">
        <v>185</v>
      </c>
      <c r="C163" s="3" t="s">
        <v>191</v>
      </c>
      <c r="D163" s="6">
        <v>0</v>
      </c>
      <c r="E163" s="6">
        <v>0</v>
      </c>
      <c r="F163" s="6">
        <v>0</v>
      </c>
      <c r="G163" s="6">
        <v>3.59999990463257</v>
      </c>
      <c r="H163" s="6">
        <v>0</v>
      </c>
      <c r="I163" s="6">
        <v>58.35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7">
        <f t="shared" si="4"/>
        <v>61.9499999046326</v>
      </c>
    </row>
    <row r="164" spans="1:18">
      <c r="A164" s="3" t="s">
        <v>24</v>
      </c>
      <c r="B164" s="3" t="s">
        <v>185</v>
      </c>
      <c r="C164" s="3" t="s">
        <v>192</v>
      </c>
      <c r="D164" s="6">
        <v>2.8422</v>
      </c>
      <c r="E164" s="6">
        <v>0</v>
      </c>
      <c r="F164" s="6">
        <v>0</v>
      </c>
      <c r="G164" s="6">
        <v>1968.80004882812</v>
      </c>
      <c r="H164" s="6">
        <v>0</v>
      </c>
      <c r="I164" s="6">
        <v>7.65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7">
        <f t="shared" si="4"/>
        <v>1979.29224882813</v>
      </c>
    </row>
    <row r="165" spans="1:18">
      <c r="A165" s="3" t="s">
        <v>24</v>
      </c>
      <c r="B165" s="3" t="s">
        <v>185</v>
      </c>
      <c r="C165" s="3" t="s">
        <v>193</v>
      </c>
      <c r="D165" s="6">
        <v>1.2791</v>
      </c>
      <c r="E165" s="6">
        <v>0</v>
      </c>
      <c r="F165" s="6">
        <v>0</v>
      </c>
      <c r="G165" s="6">
        <v>527.200012207031</v>
      </c>
      <c r="H165" s="6">
        <v>0</v>
      </c>
      <c r="I165" s="6">
        <v>22.65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7">
        <f t="shared" si="4"/>
        <v>551.129112207031</v>
      </c>
    </row>
    <row r="166" spans="1:18">
      <c r="A166" s="3" t="s">
        <v>24</v>
      </c>
      <c r="B166" s="3" t="s">
        <v>185</v>
      </c>
      <c r="C166" s="3" t="s">
        <v>194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786.45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7">
        <f t="shared" ref="R166:R185" si="5">SUM(D166:Q166)</f>
        <v>786.45</v>
      </c>
    </row>
    <row r="167" spans="1:18">
      <c r="A167" s="3" t="s">
        <v>24</v>
      </c>
      <c r="B167" s="3" t="s">
        <v>185</v>
      </c>
      <c r="C167" s="3" t="s">
        <v>195</v>
      </c>
      <c r="D167" s="6">
        <v>1.6499</v>
      </c>
      <c r="E167" s="6">
        <v>0</v>
      </c>
      <c r="F167" s="6">
        <v>0</v>
      </c>
      <c r="G167" s="6">
        <v>2834.39990234375</v>
      </c>
      <c r="H167" s="6">
        <v>0</v>
      </c>
      <c r="I167" s="6">
        <v>0.15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7">
        <f t="shared" si="5"/>
        <v>2836.19980234375</v>
      </c>
    </row>
    <row r="168" spans="1:18">
      <c r="A168" s="3" t="s">
        <v>24</v>
      </c>
      <c r="B168" s="3" t="s">
        <v>185</v>
      </c>
      <c r="C168" s="3" t="s">
        <v>196</v>
      </c>
      <c r="D168" s="6">
        <v>0.7866</v>
      </c>
      <c r="E168" s="6">
        <v>0</v>
      </c>
      <c r="F168" s="6">
        <v>0</v>
      </c>
      <c r="G168" s="6">
        <v>0</v>
      </c>
      <c r="H168" s="6">
        <v>0</v>
      </c>
      <c r="I168" s="6">
        <v>18.6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7">
        <f t="shared" si="5"/>
        <v>19.3866</v>
      </c>
    </row>
    <row r="169" spans="1:18">
      <c r="A169" s="3" t="s">
        <v>24</v>
      </c>
      <c r="B169" s="3" t="s">
        <v>185</v>
      </c>
      <c r="C169" s="3" t="s">
        <v>197</v>
      </c>
      <c r="D169" s="6">
        <v>3.5701</v>
      </c>
      <c r="E169" s="6">
        <v>0</v>
      </c>
      <c r="F169" s="6">
        <v>0</v>
      </c>
      <c r="G169" s="6">
        <v>4410.39990234375</v>
      </c>
      <c r="H169" s="6">
        <v>0</v>
      </c>
      <c r="I169" s="6">
        <v>7.65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7">
        <f t="shared" si="5"/>
        <v>4421.62000234375</v>
      </c>
    </row>
    <row r="170" spans="1:18">
      <c r="A170" s="3" t="s">
        <v>24</v>
      </c>
      <c r="B170" s="3" t="s">
        <v>185</v>
      </c>
      <c r="C170" s="3" t="s">
        <v>198</v>
      </c>
      <c r="D170" s="6">
        <v>1.179</v>
      </c>
      <c r="E170" s="6">
        <v>0</v>
      </c>
      <c r="F170" s="6">
        <v>0</v>
      </c>
      <c r="G170" s="6">
        <v>1976</v>
      </c>
      <c r="H170" s="6">
        <v>0</v>
      </c>
      <c r="I170" s="6">
        <v>201.9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7">
        <f t="shared" si="5"/>
        <v>2179.079</v>
      </c>
    </row>
    <row r="171" spans="1:18">
      <c r="A171" s="3" t="s">
        <v>24</v>
      </c>
      <c r="B171" s="3" t="s">
        <v>185</v>
      </c>
      <c r="C171" s="3" t="s">
        <v>199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5.1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7">
        <f t="shared" si="5"/>
        <v>5.1</v>
      </c>
    </row>
    <row r="172" spans="1:18">
      <c r="A172" s="3" t="s">
        <v>24</v>
      </c>
      <c r="B172" s="3" t="s">
        <v>185</v>
      </c>
      <c r="C172" s="3" t="s">
        <v>200</v>
      </c>
      <c r="D172" s="6">
        <v>4.2541</v>
      </c>
      <c r="E172" s="6">
        <v>0</v>
      </c>
      <c r="F172" s="6">
        <v>0</v>
      </c>
      <c r="G172" s="6">
        <v>1013.59997558594</v>
      </c>
      <c r="H172" s="6">
        <v>0</v>
      </c>
      <c r="I172" s="6">
        <v>27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7">
        <f t="shared" si="5"/>
        <v>1044.85407558594</v>
      </c>
    </row>
    <row r="173" spans="1:18">
      <c r="A173" s="3" t="s">
        <v>24</v>
      </c>
      <c r="B173" s="3" t="s">
        <v>185</v>
      </c>
      <c r="C173" s="3" t="s">
        <v>201</v>
      </c>
      <c r="D173" s="6">
        <v>1.26</v>
      </c>
      <c r="E173" s="6">
        <v>0</v>
      </c>
      <c r="F173" s="6">
        <v>0</v>
      </c>
      <c r="G173" s="6">
        <v>536.799987792969</v>
      </c>
      <c r="H173" s="6">
        <v>0</v>
      </c>
      <c r="I173" s="6">
        <v>59.55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7">
        <f t="shared" si="5"/>
        <v>597.609987792969</v>
      </c>
    </row>
    <row r="174" spans="1:18">
      <c r="A174" s="3" t="s">
        <v>24</v>
      </c>
      <c r="B174" s="3" t="s">
        <v>185</v>
      </c>
      <c r="C174" s="3" t="s">
        <v>202</v>
      </c>
      <c r="D174" s="6">
        <v>0.2682</v>
      </c>
      <c r="E174" s="6">
        <v>0</v>
      </c>
      <c r="F174" s="6">
        <v>0</v>
      </c>
      <c r="G174" s="6">
        <v>0</v>
      </c>
      <c r="H174" s="6">
        <v>0</v>
      </c>
      <c r="I174" s="6">
        <v>1097.85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7">
        <f t="shared" si="5"/>
        <v>1098.1182</v>
      </c>
    </row>
    <row r="175" spans="1:18">
      <c r="A175" s="3" t="s">
        <v>24</v>
      </c>
      <c r="B175" s="3" t="s">
        <v>185</v>
      </c>
      <c r="C175" s="3" t="s">
        <v>203</v>
      </c>
      <c r="D175" s="6">
        <v>0.4014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7">
        <f t="shared" si="5"/>
        <v>0.4014</v>
      </c>
    </row>
    <row r="176" spans="1:18">
      <c r="A176" s="3" t="s">
        <v>24</v>
      </c>
      <c r="B176" s="3" t="s">
        <v>185</v>
      </c>
      <c r="C176" s="3" t="s">
        <v>204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16.2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7">
        <f t="shared" si="5"/>
        <v>16.2</v>
      </c>
    </row>
    <row r="177" spans="1:18">
      <c r="A177" s="3" t="s">
        <v>24</v>
      </c>
      <c r="B177" s="3" t="s">
        <v>185</v>
      </c>
      <c r="C177" s="3" t="s">
        <v>205</v>
      </c>
      <c r="D177" s="6">
        <v>5.9231</v>
      </c>
      <c r="E177" s="6">
        <v>0</v>
      </c>
      <c r="F177" s="6">
        <v>0</v>
      </c>
      <c r="G177" s="6">
        <v>2732</v>
      </c>
      <c r="H177" s="6">
        <v>0</v>
      </c>
      <c r="I177" s="6">
        <v>80.1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7">
        <f t="shared" si="5"/>
        <v>2818.0231</v>
      </c>
    </row>
    <row r="178" spans="1:18">
      <c r="A178" s="3" t="s">
        <v>24</v>
      </c>
      <c r="B178" s="3" t="s">
        <v>185</v>
      </c>
      <c r="C178" s="3" t="s">
        <v>206</v>
      </c>
      <c r="D178" s="6">
        <v>0.9223</v>
      </c>
      <c r="E178" s="6">
        <v>0</v>
      </c>
      <c r="F178" s="6">
        <v>0</v>
      </c>
      <c r="G178" s="6">
        <v>542.400024414063</v>
      </c>
      <c r="H178" s="6">
        <v>0</v>
      </c>
      <c r="I178" s="6">
        <v>26897.55</v>
      </c>
      <c r="J178" s="6">
        <v>834.150024414063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7">
        <f t="shared" si="5"/>
        <v>28275.0223488281</v>
      </c>
    </row>
    <row r="179" spans="1:18">
      <c r="A179" s="3" t="s">
        <v>24</v>
      </c>
      <c r="B179" s="3" t="s">
        <v>185</v>
      </c>
      <c r="C179" s="3" t="s">
        <v>207</v>
      </c>
      <c r="D179" s="6">
        <v>1.2427</v>
      </c>
      <c r="E179" s="6">
        <v>0</v>
      </c>
      <c r="F179" s="6">
        <v>0</v>
      </c>
      <c r="G179" s="6">
        <v>619.599975585938</v>
      </c>
      <c r="H179" s="6">
        <v>0</v>
      </c>
      <c r="I179" s="6">
        <v>0.9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7">
        <f t="shared" si="5"/>
        <v>621.742675585937</v>
      </c>
    </row>
    <row r="180" spans="1:18">
      <c r="A180" s="3" t="s">
        <v>24</v>
      </c>
      <c r="B180" s="3" t="s">
        <v>185</v>
      </c>
      <c r="C180" s="3" t="s">
        <v>208</v>
      </c>
      <c r="D180" s="6">
        <v>13.7857</v>
      </c>
      <c r="E180" s="6">
        <v>0</v>
      </c>
      <c r="F180" s="6">
        <v>0</v>
      </c>
      <c r="G180" s="6">
        <v>3704.80004882813</v>
      </c>
      <c r="H180" s="6">
        <v>0</v>
      </c>
      <c r="I180" s="6">
        <v>184.2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7">
        <f t="shared" si="5"/>
        <v>3902.78574882812</v>
      </c>
    </row>
    <row r="181" spans="1:18">
      <c r="A181" s="3" t="s">
        <v>24</v>
      </c>
      <c r="B181" s="3" t="s">
        <v>185</v>
      </c>
      <c r="C181" s="3" t="s">
        <v>209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0.6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7">
        <f t="shared" si="5"/>
        <v>0.6</v>
      </c>
    </row>
    <row r="182" spans="1:18">
      <c r="A182" s="3" t="s">
        <v>24</v>
      </c>
      <c r="B182" s="3" t="s">
        <v>185</v>
      </c>
      <c r="C182" s="3" t="s">
        <v>210</v>
      </c>
      <c r="D182" s="6">
        <v>3.326</v>
      </c>
      <c r="E182" s="6">
        <v>0</v>
      </c>
      <c r="F182" s="6">
        <v>0</v>
      </c>
      <c r="G182" s="6">
        <v>1801.19995117187</v>
      </c>
      <c r="H182" s="6">
        <v>0</v>
      </c>
      <c r="I182" s="6">
        <v>21.9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7">
        <f t="shared" si="5"/>
        <v>1826.42595117188</v>
      </c>
    </row>
    <row r="183" spans="1:18">
      <c r="A183" s="3" t="s">
        <v>24</v>
      </c>
      <c r="B183" s="3" t="s">
        <v>185</v>
      </c>
      <c r="C183" s="3" t="s">
        <v>211</v>
      </c>
      <c r="D183" s="6">
        <v>5.7769</v>
      </c>
      <c r="E183" s="6">
        <v>0</v>
      </c>
      <c r="F183" s="6">
        <v>0</v>
      </c>
      <c r="G183" s="6">
        <v>2497.19995117188</v>
      </c>
      <c r="H183" s="6">
        <v>0</v>
      </c>
      <c r="I183" s="6">
        <v>363.3</v>
      </c>
      <c r="J183" s="6">
        <v>10002.6796875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7">
        <f t="shared" si="5"/>
        <v>12868.9565386719</v>
      </c>
    </row>
    <row r="184" spans="1:18">
      <c r="A184" s="3" t="s">
        <v>24</v>
      </c>
      <c r="B184" s="3" t="s">
        <v>212</v>
      </c>
      <c r="C184" s="3" t="s">
        <v>213</v>
      </c>
      <c r="D184" s="6">
        <v>0</v>
      </c>
      <c r="E184" s="6">
        <v>566910.5625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7">
        <f t="shared" si="5"/>
        <v>566910.5625</v>
      </c>
    </row>
    <row r="185" spans="1:18">
      <c r="A185" s="3" t="s">
        <v>24</v>
      </c>
      <c r="B185" s="3" t="s">
        <v>212</v>
      </c>
      <c r="C185" s="3" t="s">
        <v>214</v>
      </c>
      <c r="D185" s="6">
        <v>0</v>
      </c>
      <c r="E185" s="6">
        <v>336307.09375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7">
        <f t="shared" si="5"/>
        <v>336307.09375</v>
      </c>
    </row>
  </sheetData>
  <mergeCells count="1">
    <mergeCell ref="A1:R1"/>
  </mergeCells>
  <pageMargins left="0.699305555555556" right="0.699305555555556" top="0.75" bottom="0.75" header="0.3" footer="0.3"/>
  <pageSetup paperSize="9" orientation="portrait"/>
  <headerFooter/>
  <ignoredErrors>
    <ignoredError sqref="I3:K3 I2 C2 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2022-09-28T06:10:00Z</dcterms:created>
  <dcterms:modified xsi:type="dcterms:W3CDTF">2025-09-30T17:50:16Z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2052-10.8.2.6613</vt:lpwstr>
  </property>
</Properties>
</file>