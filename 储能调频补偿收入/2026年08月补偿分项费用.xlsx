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工作表" sheetId="1" r:id="rId1"/>
  </sheets>
  <definedNames>
    <definedName name="_xlnm._FilterDatabase" localSheetId="0" hidden="1">工作表!$A$4:$Q$203</definedName>
  </definedNames>
  <calcPr calcId="144525"/>
</workbook>
</file>

<file path=xl/sharedStrings.xml><?xml version="1.0" encoding="utf-8"?>
<sst xmlns="http://schemas.openxmlformats.org/spreadsheetml/2006/main" count="634" uniqueCount="233">
  <si>
    <t>2026年08月补偿分项费用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</si>
  <si>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</si>
  <si>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</si>
  <si>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</si>
  <si>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</si>
  <si>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</si>
  <si>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</si>
  <si>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</si>
  <si>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</si>
  <si>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</si>
  <si>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</si>
  <si>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</si>
  <si>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</si>
  <si>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</si>
  <si>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</si>
  <si>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</si>
  <si>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</si>
  <si>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</si>
  <si>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</si>
  <si>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</si>
  <si>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</si>
  <si>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</si>
  <si>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</si>
  <si>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</si>
  <si>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</si>
  <si>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</si>
  <si>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</si>
  <si>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</si>
  <si>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</si>
  <si>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</si>
  <si>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</si>
  <si>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</si>
  <si>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</si>
  <si>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</si>
  <si>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</si>
  <si>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</si>
  <si>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</si>
  <si>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</si>
  <si>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</si>
  <si>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</si>
  <si>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</si>
  <si>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</si>
  <si>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</si>
  <si>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</si>
  <si>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</si>
  <si>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</si>
  <si>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</si>
  <si>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</si>
  <si>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</si>
  <si>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</si>
  <si>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</si>
  <si>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</si>
  <si>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</si>
  <si>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</si>
  <si>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</si>
  <si>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</si>
  <si>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</si>
  <si>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</si>
  <si>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</si>
  <si>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</si>
  <si>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</si>
  <si>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</si>
  <si>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</si>
  <si>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</si>
  <si>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核电</t>
  </si>
  <si>
    <t>秦山厂</t>
  </si>
  <si>
    <t>三澳核电</t>
  </si>
  <si>
    <t>三门厂</t>
  </si>
  <si>
    <t>燃机</t>
  </si>
  <si>
    <t>220kV镇海发电厂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</si>
  <si>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</si>
  <si>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</si>
  <si>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</si>
  <si>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</si>
  <si>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</si>
  <si>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</si>
  <si>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</si>
  <si>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</si>
  <si>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</si>
  <si>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</si>
  <si>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</si>
  <si>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</si>
  <si>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</si>
  <si>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</si>
  <si>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南峰燃机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</si>
  <si>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</si>
  <si>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</si>
  <si>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</si>
  <si>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</si>
  <si>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</si>
  <si>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</si>
  <si>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</si>
  <si>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</si>
  <si>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</si>
  <si>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</si>
  <si>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</si>
  <si>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</si>
  <si>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</si>
  <si>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</si>
  <si>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</si>
  <si>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</si>
  <si>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</si>
  <si>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</si>
  <si>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</si>
  <si>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</si>
  <si>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</si>
  <si>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</si>
  <si>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</si>
  <si>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</si>
  <si>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</si>
  <si>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</si>
  <si>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</si>
  <si>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</si>
  <si>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</si>
  <si>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</si>
  <si>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</si>
  <si>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</si>
  <si>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</si>
  <si>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</si>
  <si>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</si>
  <si>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</si>
  <si>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</si>
  <si>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</si>
  <si>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</si>
  <si>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</si>
  <si>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</si>
  <si>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</si>
  <si>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</si>
  <si>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</si>
  <si>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</si>
  <si>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</si>
  <si>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</si>
  <si>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</si>
  <si>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</si>
  <si>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</si>
  <si>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</si>
  <si>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</si>
  <si>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</si>
  <si>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</si>
  <si>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</si>
  <si>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</si>
  <si>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</si>
  <si>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</si>
  <si>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</si>
  <si>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</si>
  <si>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</si>
  <si>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</si>
  <si>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</si>
  <si>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</si>
  <si>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</si>
  <si>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</si>
  <si>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</si>
  <si>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</si>
  <si>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</si>
  <si>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</si>
  <si>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</si>
  <si>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</si>
  <si>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</si>
  <si>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</si>
  <si>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</si>
  <si>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</si>
  <si>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</si>
  <si>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</si>
  <si>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</si>
  <si>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</si>
  <si>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</si>
  <si>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</si>
  <si>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</si>
  <si>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兴能光伏站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</si>
  <si>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</si>
  <si>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</si>
  <si>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</si>
  <si>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</si>
  <si>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</si>
  <si>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</si>
  <si>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</si>
  <si>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</si>
  <si>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</si>
  <si>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</si>
  <si>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</si>
  <si>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</si>
  <si>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</si>
  <si>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大衢风电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</si>
  <si>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</si>
  <si>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</si>
  <si>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</si>
  <si>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</si>
  <si>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</si>
  <si>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</si>
  <si>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</si>
  <si>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</si>
  <si>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</si>
  <si>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</si>
  <si>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</si>
  <si>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</si>
  <si>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</si>
  <si>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</si>
  <si>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</si>
  <si>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</si>
  <si>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抽蓄</t>
  </si>
  <si>
    <t>宁蓄厂</t>
  </si>
  <si>
    <t>虚拟电厂</t>
  </si>
  <si>
    <t>华能浙江能源聚合中心</t>
  </si>
  <si>
    <t>浙能虚拟能源聚合中心</t>
  </si>
  <si>
    <t>储能</t>
  </si>
  <si>
    <t>滨耀储能站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</si>
  <si>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</si>
  <si>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</si>
  <si>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</si>
  <si>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</si>
  <si>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</si>
  <si>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</si>
  <si>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</si>
  <si>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</si>
  <si>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</si>
  <si>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交安储能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</si>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</sst>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03"/>
  <sheetViews>
    <sheetView tabSelected="1" workbookViewId="0">
      <selection activeCell="F11" sqref="F11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2.62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6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4" t="s">
        <v>4</v>
      </c>
      <c r="H2" s="5" t="s">
        <v>5</v>
      </c>
      <c r="I2" s="4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7" t="s">
        <v>15</v>
      </c>
    </row>
    <row r="3" s="1" customFormat="1" spans="1:18">
      <c r="A3" s="4" t="s">
        <v>16</v>
      </c>
      <c r="B3" s="4" t="s">
        <v>17</v>
      </c>
      <c r="C3" s="5" t="s">
        <v>18</v>
      </c>
      <c r="D3" s="4" t="s">
        <v>19</v>
      </c>
      <c r="E3" s="4" t="s">
        <v>20</v>
      </c>
      <c r="F3" s="4" t="s">
        <v>19</v>
      </c>
      <c r="G3" s="4" t="s">
        <v>19</v>
      </c>
      <c r="H3" s="4" t="s">
        <v>20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19</v>
      </c>
      <c r="P3" s="4" t="s">
        <v>19</v>
      </c>
      <c r="Q3" s="4" t="s">
        <v>19</v>
      </c>
      <c r="R3" s="7" t="s">
        <v>21</v>
      </c>
    </row>
    <row r="4" s="1" customFormat="1" spans="1:18">
      <c r="A4" s="4" t="s">
        <v>22</v>
      </c>
      <c r="B4" s="4" t="s">
        <v>22</v>
      </c>
      <c r="C4" s="4" t="s">
        <v>23</v>
      </c>
      <c r="D4" s="5">
        <f>SUM(D5:D203)</f>
        <v>205214.5899</v>
      </c>
      <c r="E4" s="5">
        <f t="shared" ref="E4:R4" si="0">SUM(E5:E203)</f>
        <v>2842438.344</v>
      </c>
      <c r="F4" s="5">
        <f t="shared" si="0"/>
        <v>0</v>
      </c>
      <c r="G4" s="5">
        <f t="shared" si="0"/>
        <v>30760190.8</v>
      </c>
      <c r="H4" s="5">
        <f t="shared" si="0"/>
        <v>15811834.2595</v>
      </c>
      <c r="I4" s="5">
        <f t="shared" si="0"/>
        <v>4999898.3925</v>
      </c>
      <c r="J4" s="5">
        <f t="shared" si="0"/>
        <v>22748337.2691</v>
      </c>
      <c r="K4" s="5">
        <f t="shared" si="0"/>
        <v>30016464</v>
      </c>
      <c r="L4" s="5">
        <f t="shared" si="0"/>
        <v>0</v>
      </c>
      <c r="M4" s="5">
        <f t="shared" si="0"/>
        <v>0</v>
      </c>
      <c r="N4" s="5">
        <f t="shared" si="0"/>
        <v>0</v>
      </c>
      <c r="O4" s="5">
        <f t="shared" si="0"/>
        <v>0</v>
      </c>
      <c r="P4" s="5">
        <f t="shared" si="0"/>
        <v>0</v>
      </c>
      <c r="Q4" s="5">
        <f t="shared" si="0"/>
        <v>280000</v>
      </c>
      <c r="R4" s="3">
        <f t="shared" si="0"/>
        <v>107664377.655</v>
      </c>
    </row>
    <row r="5" spans="1:18">
      <c r="A5" s="4" t="s">
        <v>24</v>
      </c>
      <c r="B5" s="4" t="s">
        <v>25</v>
      </c>
      <c r="C5" s="4" t="s">
        <v>26</v>
      </c>
      <c r="D5" s="5">
        <v>7480.9729</v>
      </c>
      <c r="E5" s="5">
        <v>0</v>
      </c>
      <c r="F5" s="5">
        <v>0</v>
      </c>
      <c r="G5" s="5">
        <v>1118144.8</v>
      </c>
      <c r="H5" s="5">
        <v>0</v>
      </c>
      <c r="I5" s="5">
        <v>56.7795</v>
      </c>
      <c r="J5" s="5">
        <v>736484.1</v>
      </c>
      <c r="K5" s="5">
        <v>713027.5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8">
        <f>SUM(D5:Q5)</f>
        <v>2575194.1524</v>
      </c>
    </row>
    <row r="6" spans="1:18">
      <c r="A6" s="4" t="s">
        <v>24</v>
      </c>
      <c r="B6" s="4" t="s">
        <v>25</v>
      </c>
      <c r="C6" s="4" t="s">
        <v>27</v>
      </c>
      <c r="D6" s="5">
        <v>3378.078</v>
      </c>
      <c r="E6" s="5">
        <v>0</v>
      </c>
      <c r="F6" s="5">
        <v>0</v>
      </c>
      <c r="G6" s="5">
        <v>616111.2</v>
      </c>
      <c r="H6" s="5">
        <v>0</v>
      </c>
      <c r="I6" s="5">
        <v>206.364</v>
      </c>
      <c r="J6" s="5">
        <v>464656.5</v>
      </c>
      <c r="K6" s="5">
        <v>383273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8">
        <f t="shared" ref="R6:R37" si="1">SUM(D6:Q6)</f>
        <v>1467625.142</v>
      </c>
    </row>
    <row r="7" spans="1:18">
      <c r="A7" s="4" t="s">
        <v>24</v>
      </c>
      <c r="B7" s="4" t="s">
        <v>25</v>
      </c>
      <c r="C7" s="4" t="s">
        <v>28</v>
      </c>
      <c r="D7" s="5">
        <v>8691.1369</v>
      </c>
      <c r="E7" s="5">
        <v>0</v>
      </c>
      <c r="F7" s="5">
        <v>0</v>
      </c>
      <c r="G7" s="5">
        <v>1353266.8</v>
      </c>
      <c r="H7" s="5">
        <v>0</v>
      </c>
      <c r="I7" s="5">
        <v>0</v>
      </c>
      <c r="J7" s="5">
        <v>774653.25</v>
      </c>
      <c r="K7" s="5">
        <v>980810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8">
        <f t="shared" si="1"/>
        <v>3117421.1869</v>
      </c>
    </row>
    <row r="8" spans="1:18">
      <c r="A8" s="4" t="s">
        <v>24</v>
      </c>
      <c r="B8" s="4" t="s">
        <v>25</v>
      </c>
      <c r="C8" s="4" t="s">
        <v>29</v>
      </c>
      <c r="D8" s="5">
        <v>7529.0291</v>
      </c>
      <c r="E8" s="5">
        <v>0</v>
      </c>
      <c r="F8" s="5">
        <v>0</v>
      </c>
      <c r="G8" s="5">
        <v>1161073.2</v>
      </c>
      <c r="H8" s="5">
        <v>0</v>
      </c>
      <c r="I8" s="5">
        <v>0</v>
      </c>
      <c r="J8" s="5">
        <v>725240</v>
      </c>
      <c r="K8" s="5">
        <v>1005127.5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8">
        <f t="shared" si="1"/>
        <v>2898969.7291</v>
      </c>
    </row>
    <row r="9" spans="1:18">
      <c r="A9" s="4" t="s">
        <v>24</v>
      </c>
      <c r="B9" s="4" t="s">
        <v>25</v>
      </c>
      <c r="C9" s="4" t="s">
        <v>30</v>
      </c>
      <c r="D9" s="5">
        <v>5973.1463</v>
      </c>
      <c r="E9" s="5">
        <v>0</v>
      </c>
      <c r="F9" s="5">
        <v>0</v>
      </c>
      <c r="G9" s="5">
        <v>802819.6</v>
      </c>
      <c r="H9" s="5">
        <v>1452810</v>
      </c>
      <c r="I9" s="5">
        <v>6.3735</v>
      </c>
      <c r="J9" s="5">
        <v>699235</v>
      </c>
      <c r="K9" s="5">
        <v>1121410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8">
        <f t="shared" si="1"/>
        <v>4082254.1198</v>
      </c>
    </row>
    <row r="10" spans="1:18">
      <c r="A10" s="4" t="s">
        <v>24</v>
      </c>
      <c r="B10" s="4" t="s">
        <v>25</v>
      </c>
      <c r="C10" s="4" t="s">
        <v>31</v>
      </c>
      <c r="D10" s="5">
        <v>8140.7676</v>
      </c>
      <c r="E10" s="5">
        <v>0</v>
      </c>
      <c r="F10" s="5">
        <v>0</v>
      </c>
      <c r="G10" s="5">
        <v>768226.4</v>
      </c>
      <c r="H10" s="5">
        <v>0</v>
      </c>
      <c r="I10" s="5">
        <v>0</v>
      </c>
      <c r="J10" s="5">
        <v>733622.9</v>
      </c>
      <c r="K10" s="5">
        <v>522006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8">
        <f t="shared" si="1"/>
        <v>2031996.0676</v>
      </c>
    </row>
    <row r="11" spans="1:18">
      <c r="A11" s="4" t="s">
        <v>24</v>
      </c>
      <c r="B11" s="4" t="s">
        <v>25</v>
      </c>
      <c r="C11" s="4" t="s">
        <v>32</v>
      </c>
      <c r="D11" s="5">
        <v>3368.0682</v>
      </c>
      <c r="E11" s="5">
        <v>0</v>
      </c>
      <c r="F11" s="5">
        <v>0</v>
      </c>
      <c r="G11" s="5">
        <v>432670.8</v>
      </c>
      <c r="H11" s="5">
        <v>0</v>
      </c>
      <c r="I11" s="5">
        <v>409445.4525</v>
      </c>
      <c r="J11" s="5">
        <v>258627.585</v>
      </c>
      <c r="K11" s="5">
        <v>696700.5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8">
        <f t="shared" si="1"/>
        <v>1800812.4057</v>
      </c>
    </row>
    <row r="12" spans="1:18">
      <c r="A12" s="4" t="s">
        <v>24</v>
      </c>
      <c r="B12" s="4" t="s">
        <v>25</v>
      </c>
      <c r="C12" s="4" t="s">
        <v>33</v>
      </c>
      <c r="D12" s="5">
        <v>5658.1961</v>
      </c>
      <c r="E12" s="5">
        <v>0</v>
      </c>
      <c r="F12" s="5">
        <v>0</v>
      </c>
      <c r="G12" s="5">
        <v>681562.8</v>
      </c>
      <c r="H12" s="5">
        <v>0</v>
      </c>
      <c r="I12" s="5">
        <v>1292.775</v>
      </c>
      <c r="J12" s="5">
        <v>452078.55</v>
      </c>
      <c r="K12" s="5">
        <v>1028715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8">
        <f t="shared" si="1"/>
        <v>2169307.3211</v>
      </c>
    </row>
    <row r="13" spans="1:18">
      <c r="A13" s="4" t="s">
        <v>24</v>
      </c>
      <c r="B13" s="4" t="s">
        <v>25</v>
      </c>
      <c r="C13" s="4" t="s">
        <v>34</v>
      </c>
      <c r="D13" s="5">
        <v>3678.4553</v>
      </c>
      <c r="E13" s="5">
        <v>0</v>
      </c>
      <c r="F13" s="5">
        <v>0</v>
      </c>
      <c r="G13" s="5">
        <v>541497.6</v>
      </c>
      <c r="H13" s="5">
        <v>0</v>
      </c>
      <c r="I13" s="5">
        <v>32772.06</v>
      </c>
      <c r="J13" s="5">
        <v>490492.2</v>
      </c>
      <c r="K13" s="5">
        <v>948637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8">
        <f t="shared" si="1"/>
        <v>2017077.3153</v>
      </c>
    </row>
    <row r="14" spans="1:18">
      <c r="A14" s="4" t="s">
        <v>24</v>
      </c>
      <c r="B14" s="4" t="s">
        <v>25</v>
      </c>
      <c r="C14" s="4" t="s">
        <v>35</v>
      </c>
      <c r="D14" s="5">
        <v>3412.4195</v>
      </c>
      <c r="E14" s="5">
        <v>0</v>
      </c>
      <c r="F14" s="5">
        <v>0</v>
      </c>
      <c r="G14" s="5">
        <v>490050</v>
      </c>
      <c r="H14" s="5">
        <v>1632000</v>
      </c>
      <c r="I14" s="5">
        <v>1255.4775</v>
      </c>
      <c r="J14" s="5">
        <v>561740</v>
      </c>
      <c r="K14" s="5">
        <v>538287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8">
        <f t="shared" si="1"/>
        <v>3226744.897</v>
      </c>
    </row>
    <row r="15" spans="1:18">
      <c r="A15" s="4" t="s">
        <v>24</v>
      </c>
      <c r="B15" s="4" t="s">
        <v>25</v>
      </c>
      <c r="C15" s="4" t="s">
        <v>36</v>
      </c>
      <c r="D15" s="5">
        <v>15562.2494</v>
      </c>
      <c r="E15" s="5">
        <v>0</v>
      </c>
      <c r="F15" s="5">
        <v>0</v>
      </c>
      <c r="G15" s="5">
        <v>2286803.2</v>
      </c>
      <c r="H15" s="5">
        <v>0</v>
      </c>
      <c r="I15" s="5">
        <v>1008.6375</v>
      </c>
      <c r="J15" s="5">
        <v>1741141.15</v>
      </c>
      <c r="K15" s="5">
        <v>2000604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8">
        <f t="shared" si="1"/>
        <v>6045119.2369</v>
      </c>
    </row>
    <row r="16" spans="1:18">
      <c r="A16" s="4" t="s">
        <v>24</v>
      </c>
      <c r="B16" s="4" t="s">
        <v>25</v>
      </c>
      <c r="C16" s="4" t="s">
        <v>37</v>
      </c>
      <c r="D16" s="5">
        <v>2688.1046</v>
      </c>
      <c r="E16" s="5">
        <v>0</v>
      </c>
      <c r="F16" s="5">
        <v>0</v>
      </c>
      <c r="G16" s="5">
        <v>438076</v>
      </c>
      <c r="H16" s="5">
        <v>0</v>
      </c>
      <c r="I16" s="5">
        <v>4017.915</v>
      </c>
      <c r="J16" s="5">
        <v>244996.95</v>
      </c>
      <c r="K16" s="5">
        <v>242693.5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8">
        <f t="shared" si="1"/>
        <v>932472.4696</v>
      </c>
    </row>
    <row r="17" spans="1:18">
      <c r="A17" s="4" t="s">
        <v>24</v>
      </c>
      <c r="B17" s="4" t="s">
        <v>25</v>
      </c>
      <c r="C17" s="4" t="s">
        <v>38</v>
      </c>
      <c r="D17" s="5">
        <v>28.899</v>
      </c>
      <c r="E17" s="5">
        <v>0</v>
      </c>
      <c r="F17" s="5">
        <v>0</v>
      </c>
      <c r="G17" s="5">
        <v>0</v>
      </c>
      <c r="H17" s="5">
        <v>0</v>
      </c>
      <c r="I17" s="5">
        <v>300598.467</v>
      </c>
      <c r="J17" s="5">
        <v>0</v>
      </c>
      <c r="K17" s="5">
        <v>80141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8">
        <f t="shared" si="1"/>
        <v>380768.366</v>
      </c>
    </row>
    <row r="18" spans="1:18">
      <c r="A18" s="4" t="s">
        <v>24</v>
      </c>
      <c r="B18" s="4" t="s">
        <v>25</v>
      </c>
      <c r="C18" s="4" t="s">
        <v>39</v>
      </c>
      <c r="D18" s="5">
        <v>9089.5679</v>
      </c>
      <c r="E18" s="5">
        <v>0</v>
      </c>
      <c r="F18" s="5">
        <v>0</v>
      </c>
      <c r="G18" s="5">
        <v>1592638</v>
      </c>
      <c r="H18" s="5">
        <v>0</v>
      </c>
      <c r="I18" s="5">
        <v>88.167</v>
      </c>
      <c r="J18" s="5">
        <v>969516.9</v>
      </c>
      <c r="K18" s="5">
        <v>1194433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8">
        <f t="shared" si="1"/>
        <v>3765765.6349</v>
      </c>
    </row>
    <row r="19" spans="1:18">
      <c r="A19" s="4" t="s">
        <v>24</v>
      </c>
      <c r="B19" s="4" t="s">
        <v>25</v>
      </c>
      <c r="C19" s="4" t="s">
        <v>40</v>
      </c>
      <c r="D19" s="5">
        <v>2786.8616</v>
      </c>
      <c r="E19" s="5">
        <v>0</v>
      </c>
      <c r="F19" s="5">
        <v>0</v>
      </c>
      <c r="G19" s="5">
        <v>421306</v>
      </c>
      <c r="H19" s="5">
        <v>0</v>
      </c>
      <c r="I19" s="5">
        <v>28441.233</v>
      </c>
      <c r="J19" s="5">
        <v>224849.275</v>
      </c>
      <c r="K19" s="5">
        <v>298005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8">
        <f t="shared" si="1"/>
        <v>975388.3696</v>
      </c>
    </row>
    <row r="20" spans="1:18">
      <c r="A20" s="4" t="s">
        <v>24</v>
      </c>
      <c r="B20" s="4" t="s">
        <v>25</v>
      </c>
      <c r="C20" s="4" t="s">
        <v>41</v>
      </c>
      <c r="D20" s="5">
        <v>5115.2959</v>
      </c>
      <c r="E20" s="5">
        <v>0</v>
      </c>
      <c r="F20" s="5">
        <v>0</v>
      </c>
      <c r="G20" s="5">
        <v>741384.8</v>
      </c>
      <c r="H20" s="5">
        <v>0</v>
      </c>
      <c r="I20" s="5">
        <v>2533.827</v>
      </c>
      <c r="J20" s="5">
        <v>483172.8</v>
      </c>
      <c r="K20" s="5">
        <v>440492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8">
        <f t="shared" si="1"/>
        <v>1672698.7229</v>
      </c>
    </row>
    <row r="21" spans="1:18">
      <c r="A21" s="4" t="s">
        <v>24</v>
      </c>
      <c r="B21" s="4" t="s">
        <v>25</v>
      </c>
      <c r="C21" s="4" t="s">
        <v>42</v>
      </c>
      <c r="D21" s="5">
        <v>6567.0131</v>
      </c>
      <c r="E21" s="5">
        <v>0</v>
      </c>
      <c r="F21" s="5">
        <v>0</v>
      </c>
      <c r="G21" s="5">
        <v>958354.8</v>
      </c>
      <c r="H21" s="5">
        <v>597792.2</v>
      </c>
      <c r="I21" s="5">
        <v>812.844</v>
      </c>
      <c r="J21" s="5">
        <v>921033.3</v>
      </c>
      <c r="K21" s="5">
        <v>1059790.5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8">
        <f t="shared" si="1"/>
        <v>3544350.6571</v>
      </c>
    </row>
    <row r="22" spans="1:18">
      <c r="A22" s="4" t="s">
        <v>24</v>
      </c>
      <c r="B22" s="4" t="s">
        <v>25</v>
      </c>
      <c r="C22" s="4" t="s">
        <v>43</v>
      </c>
      <c r="D22" s="5">
        <v>13224.1741</v>
      </c>
      <c r="E22" s="5">
        <v>0</v>
      </c>
      <c r="F22" s="5">
        <v>0</v>
      </c>
      <c r="G22" s="5">
        <v>1838816.8</v>
      </c>
      <c r="H22" s="5">
        <v>0</v>
      </c>
      <c r="I22" s="5">
        <v>0</v>
      </c>
      <c r="J22" s="5">
        <v>1509944.05</v>
      </c>
      <c r="K22" s="5">
        <v>1475687.5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8">
        <f t="shared" si="1"/>
        <v>4837672.5241</v>
      </c>
    </row>
    <row r="23" spans="1:18">
      <c r="A23" s="4" t="s">
        <v>24</v>
      </c>
      <c r="B23" s="4" t="s">
        <v>25</v>
      </c>
      <c r="C23" s="4" t="s">
        <v>44</v>
      </c>
      <c r="D23" s="5">
        <v>13806.6685</v>
      </c>
      <c r="E23" s="5">
        <v>0</v>
      </c>
      <c r="F23" s="5">
        <v>0</v>
      </c>
      <c r="G23" s="5">
        <v>2155414.4</v>
      </c>
      <c r="H23" s="5">
        <v>826800</v>
      </c>
      <c r="I23" s="5">
        <v>68.5845</v>
      </c>
      <c r="J23" s="5">
        <v>728689.5</v>
      </c>
      <c r="K23" s="5">
        <v>1207909.5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8">
        <f t="shared" si="1"/>
        <v>4932688.653</v>
      </c>
    </row>
    <row r="24" spans="1:18">
      <c r="A24" s="4" t="s">
        <v>24</v>
      </c>
      <c r="B24" s="4" t="s">
        <v>25</v>
      </c>
      <c r="C24" s="4" t="s">
        <v>45</v>
      </c>
      <c r="D24" s="5">
        <v>11734.2175</v>
      </c>
      <c r="E24" s="5">
        <v>0</v>
      </c>
      <c r="F24" s="5">
        <v>0</v>
      </c>
      <c r="G24" s="5">
        <v>1712839.2</v>
      </c>
      <c r="H24" s="5">
        <v>0</v>
      </c>
      <c r="I24" s="5">
        <v>0</v>
      </c>
      <c r="J24" s="5">
        <v>925510.95</v>
      </c>
      <c r="K24" s="5">
        <v>1405164.5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8">
        <f t="shared" si="1"/>
        <v>4055248.8675</v>
      </c>
    </row>
    <row r="25" spans="1:18">
      <c r="A25" s="4" t="s">
        <v>24</v>
      </c>
      <c r="B25" s="4" t="s">
        <v>25</v>
      </c>
      <c r="C25" s="4" t="s">
        <v>46</v>
      </c>
      <c r="D25" s="5">
        <v>7368.295</v>
      </c>
      <c r="E25" s="5">
        <v>0</v>
      </c>
      <c r="F25" s="5">
        <v>0</v>
      </c>
      <c r="G25" s="5">
        <v>1146902</v>
      </c>
      <c r="H25" s="5">
        <v>0</v>
      </c>
      <c r="I25" s="5">
        <v>0</v>
      </c>
      <c r="J25" s="5">
        <v>782883.85</v>
      </c>
      <c r="K25" s="5">
        <v>1321885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8">
        <f t="shared" si="1"/>
        <v>3259039.145</v>
      </c>
    </row>
    <row r="26" spans="1:18">
      <c r="A26" s="4" t="s">
        <v>24</v>
      </c>
      <c r="B26" s="4" t="s">
        <v>25</v>
      </c>
      <c r="C26" s="4" t="s">
        <v>47</v>
      </c>
      <c r="D26" s="5">
        <v>104.5495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267184.5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8">
        <f t="shared" si="1"/>
        <v>267289.0495</v>
      </c>
    </row>
    <row r="27" spans="1:18">
      <c r="A27" s="4" t="s">
        <v>24</v>
      </c>
      <c r="B27" s="4" t="s">
        <v>25</v>
      </c>
      <c r="C27" s="4" t="s">
        <v>48</v>
      </c>
      <c r="D27" s="5">
        <v>2702.8754</v>
      </c>
      <c r="E27" s="5">
        <v>0</v>
      </c>
      <c r="F27" s="5">
        <v>0</v>
      </c>
      <c r="G27" s="5">
        <v>419203.2</v>
      </c>
      <c r="H27" s="5">
        <v>439532.5</v>
      </c>
      <c r="I27" s="5">
        <v>2850.2115</v>
      </c>
      <c r="J27" s="5">
        <v>483075</v>
      </c>
      <c r="K27" s="5">
        <v>261863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8">
        <f t="shared" si="1"/>
        <v>1609226.7869</v>
      </c>
    </row>
    <row r="28" spans="1:18">
      <c r="A28" s="4" t="s">
        <v>24</v>
      </c>
      <c r="B28" s="4" t="s">
        <v>25</v>
      </c>
      <c r="C28" s="4" t="s">
        <v>49</v>
      </c>
      <c r="D28" s="5">
        <v>1720.0188</v>
      </c>
      <c r="E28" s="5">
        <v>0</v>
      </c>
      <c r="F28" s="5">
        <v>0</v>
      </c>
      <c r="G28" s="5">
        <v>216251.2</v>
      </c>
      <c r="H28" s="5">
        <v>0</v>
      </c>
      <c r="I28" s="5">
        <v>1278.6765</v>
      </c>
      <c r="J28" s="5">
        <v>245213.1</v>
      </c>
      <c r="K28" s="5">
        <v>120507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8">
        <f t="shared" si="1"/>
        <v>584969.9953</v>
      </c>
    </row>
    <row r="29" spans="1:18">
      <c r="A29" s="4" t="s">
        <v>24</v>
      </c>
      <c r="B29" s="4" t="s">
        <v>25</v>
      </c>
      <c r="C29" s="4" t="s">
        <v>50</v>
      </c>
      <c r="D29" s="5">
        <v>3415.2625</v>
      </c>
      <c r="E29" s="5">
        <v>0</v>
      </c>
      <c r="F29" s="5">
        <v>0</v>
      </c>
      <c r="G29" s="5">
        <v>506480.8</v>
      </c>
      <c r="H29" s="5">
        <v>0</v>
      </c>
      <c r="I29" s="5">
        <v>261.7995</v>
      </c>
      <c r="J29" s="5">
        <v>489406.5</v>
      </c>
      <c r="K29" s="5">
        <v>304240.5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8">
        <f t="shared" si="1"/>
        <v>1303804.862</v>
      </c>
    </row>
    <row r="30" spans="1:18">
      <c r="A30" s="4" t="s">
        <v>24</v>
      </c>
      <c r="B30" s="4" t="s">
        <v>25</v>
      </c>
      <c r="C30" s="4" t="s">
        <v>51</v>
      </c>
      <c r="D30" s="5">
        <v>1378.6004</v>
      </c>
      <c r="E30" s="5">
        <v>0</v>
      </c>
      <c r="F30" s="5">
        <v>0</v>
      </c>
      <c r="G30" s="5">
        <v>183837.6</v>
      </c>
      <c r="H30" s="5">
        <v>0</v>
      </c>
      <c r="I30" s="5">
        <v>1447.9605</v>
      </c>
      <c r="J30" s="5">
        <v>244374.9</v>
      </c>
      <c r="K30" s="5">
        <v>98280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8">
        <f t="shared" si="1"/>
        <v>529319.0609</v>
      </c>
    </row>
    <row r="31" spans="1:18">
      <c r="A31" s="4" t="s">
        <v>24</v>
      </c>
      <c r="B31" s="4" t="s">
        <v>25</v>
      </c>
      <c r="C31" s="4" t="s">
        <v>52</v>
      </c>
      <c r="D31" s="5">
        <v>6031.2731</v>
      </c>
      <c r="E31" s="5">
        <v>0</v>
      </c>
      <c r="F31" s="5">
        <v>0</v>
      </c>
      <c r="G31" s="5">
        <v>989493.6</v>
      </c>
      <c r="H31" s="5">
        <v>0</v>
      </c>
      <c r="I31" s="5">
        <v>2322.966</v>
      </c>
      <c r="J31" s="5">
        <v>957511.75</v>
      </c>
      <c r="K31" s="5">
        <v>1161095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8">
        <f t="shared" si="1"/>
        <v>3116454.5891</v>
      </c>
    </row>
    <row r="32" spans="1:18">
      <c r="A32" s="4" t="s">
        <v>24</v>
      </c>
      <c r="B32" s="4" t="s">
        <v>25</v>
      </c>
      <c r="C32" s="4" t="s">
        <v>53</v>
      </c>
      <c r="D32" s="5">
        <v>16370.1695</v>
      </c>
      <c r="E32" s="5">
        <v>0</v>
      </c>
      <c r="F32" s="5">
        <v>0</v>
      </c>
      <c r="G32" s="5">
        <v>2638420</v>
      </c>
      <c r="H32" s="5">
        <v>743406.15</v>
      </c>
      <c r="I32" s="5">
        <v>751.6425</v>
      </c>
      <c r="J32" s="5">
        <v>1498016.7</v>
      </c>
      <c r="K32" s="5">
        <v>2287506.5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8">
        <f t="shared" si="1"/>
        <v>7184471.162</v>
      </c>
    </row>
    <row r="33" spans="1:18">
      <c r="A33" s="4" t="s">
        <v>24</v>
      </c>
      <c r="B33" s="4" t="s">
        <v>25</v>
      </c>
      <c r="C33" s="4" t="s">
        <v>54</v>
      </c>
      <c r="D33" s="5">
        <v>5661.8489</v>
      </c>
      <c r="E33" s="5">
        <v>0</v>
      </c>
      <c r="F33" s="5">
        <v>0</v>
      </c>
      <c r="G33" s="5">
        <v>855712</v>
      </c>
      <c r="H33" s="5">
        <v>0</v>
      </c>
      <c r="I33" s="5">
        <v>650.4345</v>
      </c>
      <c r="J33" s="5">
        <v>491023.5</v>
      </c>
      <c r="K33" s="5">
        <v>484295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8">
        <f t="shared" si="1"/>
        <v>1837342.7834</v>
      </c>
    </row>
    <row r="34" spans="1:18">
      <c r="A34" s="4" t="s">
        <v>24</v>
      </c>
      <c r="B34" s="4" t="s">
        <v>55</v>
      </c>
      <c r="C34" s="4" t="s">
        <v>56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18.141</v>
      </c>
      <c r="J34" s="5">
        <v>0</v>
      </c>
      <c r="K34" s="5">
        <v>1594.5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8">
        <f t="shared" si="1"/>
        <v>1612.641</v>
      </c>
    </row>
    <row r="35" spans="1:18">
      <c r="A35" s="4" t="s">
        <v>24</v>
      </c>
      <c r="B35" s="4" t="s">
        <v>55</v>
      </c>
      <c r="C35" s="4" t="s">
        <v>57</v>
      </c>
      <c r="D35" s="5">
        <v>0</v>
      </c>
      <c r="E35" s="5">
        <v>0</v>
      </c>
      <c r="F35" s="5">
        <v>0</v>
      </c>
      <c r="G35" s="5">
        <v>0</v>
      </c>
      <c r="H35" s="5">
        <v>8111.571</v>
      </c>
      <c r="I35" s="5">
        <v>8.3355</v>
      </c>
      <c r="J35" s="5">
        <v>0</v>
      </c>
      <c r="K35" s="5">
        <v>629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8">
        <f t="shared" si="1"/>
        <v>8748.9065</v>
      </c>
    </row>
    <row r="36" spans="1:18">
      <c r="A36" s="4" t="s">
        <v>24</v>
      </c>
      <c r="B36" s="4" t="s">
        <v>55</v>
      </c>
      <c r="C36" s="4" t="s">
        <v>58</v>
      </c>
      <c r="D36" s="5">
        <v>2.0419</v>
      </c>
      <c r="E36" s="5">
        <v>0</v>
      </c>
      <c r="F36" s="5">
        <v>0</v>
      </c>
      <c r="G36" s="5">
        <v>2471.2</v>
      </c>
      <c r="H36" s="5">
        <v>6443.55</v>
      </c>
      <c r="I36" s="5">
        <v>2.628</v>
      </c>
      <c r="J36" s="5">
        <v>0</v>
      </c>
      <c r="K36" s="5">
        <v>16764.5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40000</v>
      </c>
      <c r="R36" s="8">
        <f t="shared" si="1"/>
        <v>65683.9199</v>
      </c>
    </row>
    <row r="37" spans="1:18">
      <c r="A37" s="4" t="s">
        <v>24</v>
      </c>
      <c r="B37" s="4" t="s">
        <v>55</v>
      </c>
      <c r="C37" s="4" t="s">
        <v>59</v>
      </c>
      <c r="D37" s="5">
        <v>7.1998</v>
      </c>
      <c r="E37" s="5">
        <v>0</v>
      </c>
      <c r="F37" s="5">
        <v>0</v>
      </c>
      <c r="G37" s="5">
        <v>9225.2</v>
      </c>
      <c r="H37" s="5">
        <v>42300</v>
      </c>
      <c r="I37" s="5">
        <v>1356.8865</v>
      </c>
      <c r="J37" s="5">
        <v>30826.5</v>
      </c>
      <c r="K37" s="5">
        <v>6149.5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40000</v>
      </c>
      <c r="R37" s="8">
        <f t="shared" si="1"/>
        <v>129865.2863</v>
      </c>
    </row>
    <row r="38" spans="1:18">
      <c r="A38" s="4" t="s">
        <v>24</v>
      </c>
      <c r="B38" s="4" t="s">
        <v>55</v>
      </c>
      <c r="C38" s="4" t="s">
        <v>60</v>
      </c>
      <c r="D38" s="5">
        <v>2.565</v>
      </c>
      <c r="E38" s="5">
        <v>0</v>
      </c>
      <c r="F38" s="5">
        <v>0</v>
      </c>
      <c r="G38" s="5">
        <v>0</v>
      </c>
      <c r="H38" s="5">
        <v>13891.878</v>
      </c>
      <c r="I38" s="5">
        <v>366.2835</v>
      </c>
      <c r="J38" s="5">
        <v>0</v>
      </c>
      <c r="K38" s="5">
        <v>9465.5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40000</v>
      </c>
      <c r="R38" s="8">
        <f t="shared" ref="R38:R69" si="2">SUM(D38:Q38)</f>
        <v>63726.2265</v>
      </c>
    </row>
    <row r="39" spans="1:18">
      <c r="A39" s="4" t="s">
        <v>24</v>
      </c>
      <c r="B39" s="4" t="s">
        <v>55</v>
      </c>
      <c r="C39" s="4" t="s">
        <v>61</v>
      </c>
      <c r="D39" s="5">
        <v>42.7961</v>
      </c>
      <c r="E39" s="5">
        <v>0</v>
      </c>
      <c r="F39" s="5">
        <v>0</v>
      </c>
      <c r="G39" s="5">
        <v>58479.6</v>
      </c>
      <c r="H39" s="5">
        <v>208776.8</v>
      </c>
      <c r="I39" s="5">
        <v>1489.6335</v>
      </c>
      <c r="J39" s="5">
        <v>59903</v>
      </c>
      <c r="K39" s="5">
        <v>27034.5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40000</v>
      </c>
      <c r="R39" s="8">
        <f t="shared" si="2"/>
        <v>395726.3296</v>
      </c>
    </row>
    <row r="40" spans="1:18">
      <c r="A40" s="4" t="s">
        <v>24</v>
      </c>
      <c r="B40" s="4" t="s">
        <v>55</v>
      </c>
      <c r="C40" s="4" t="s">
        <v>62</v>
      </c>
      <c r="D40" s="5">
        <v>8.2181</v>
      </c>
      <c r="E40" s="5">
        <v>0</v>
      </c>
      <c r="F40" s="5">
        <v>0</v>
      </c>
      <c r="G40" s="5">
        <v>11292.8</v>
      </c>
      <c r="H40" s="5">
        <v>87084.09</v>
      </c>
      <c r="I40" s="5">
        <v>468.0585</v>
      </c>
      <c r="J40" s="5">
        <v>21254.05</v>
      </c>
      <c r="K40" s="5">
        <v>12185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40000</v>
      </c>
      <c r="R40" s="8">
        <f t="shared" si="2"/>
        <v>172292.2166</v>
      </c>
    </row>
    <row r="41" spans="1:18">
      <c r="A41" s="4" t="s">
        <v>24</v>
      </c>
      <c r="B41" s="4" t="s">
        <v>55</v>
      </c>
      <c r="C41" s="4" t="s">
        <v>63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8">
        <f t="shared" si="2"/>
        <v>0</v>
      </c>
    </row>
    <row r="42" spans="1:18">
      <c r="A42" s="4" t="s">
        <v>24</v>
      </c>
      <c r="B42" s="4" t="s">
        <v>64</v>
      </c>
      <c r="C42" s="4" t="s">
        <v>65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68614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8">
        <f t="shared" si="2"/>
        <v>68614</v>
      </c>
    </row>
    <row r="43" spans="1:18">
      <c r="A43" s="4" t="s">
        <v>24</v>
      </c>
      <c r="B43" s="4" t="s">
        <v>64</v>
      </c>
      <c r="C43" s="4" t="s">
        <v>66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8">
        <f t="shared" si="2"/>
        <v>0</v>
      </c>
    </row>
    <row r="44" spans="1:18">
      <c r="A44" s="4" t="s">
        <v>24</v>
      </c>
      <c r="B44" s="4" t="s">
        <v>64</v>
      </c>
      <c r="C44" s="4" t="s">
        <v>67</v>
      </c>
      <c r="D44" s="5">
        <v>0.0268</v>
      </c>
      <c r="E44" s="5">
        <v>0</v>
      </c>
      <c r="F44" s="5">
        <v>0</v>
      </c>
      <c r="G44" s="5">
        <v>0</v>
      </c>
      <c r="H44" s="5">
        <v>0</v>
      </c>
      <c r="I44" s="5">
        <v>1090.7805</v>
      </c>
      <c r="J44" s="5">
        <v>0</v>
      </c>
      <c r="K44" s="5">
        <v>329639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8">
        <f t="shared" si="2"/>
        <v>330729.8073</v>
      </c>
    </row>
    <row r="45" spans="1:18">
      <c r="A45" s="4" t="s">
        <v>24</v>
      </c>
      <c r="B45" s="4" t="s">
        <v>68</v>
      </c>
      <c r="C45" s="4" t="s">
        <v>69</v>
      </c>
      <c r="D45" s="5">
        <v>1554.0634</v>
      </c>
      <c r="E45" s="5">
        <v>0</v>
      </c>
      <c r="F45" s="5">
        <v>0</v>
      </c>
      <c r="G45" s="5">
        <v>212287.6</v>
      </c>
      <c r="H45" s="5">
        <v>446003.7228</v>
      </c>
      <c r="I45" s="5">
        <v>3553.962</v>
      </c>
      <c r="J45" s="5">
        <v>193788.3823</v>
      </c>
      <c r="K45" s="5">
        <v>566539.5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8">
        <f t="shared" si="2"/>
        <v>1423727.2305</v>
      </c>
    </row>
    <row r="46" spans="1:18">
      <c r="A46" s="4" t="s">
        <v>24</v>
      </c>
      <c r="B46" s="4" t="s">
        <v>68</v>
      </c>
      <c r="C46" s="4" t="s">
        <v>70</v>
      </c>
      <c r="D46" s="5">
        <v>5626.176</v>
      </c>
      <c r="E46" s="5">
        <v>0</v>
      </c>
      <c r="F46" s="5">
        <v>0</v>
      </c>
      <c r="G46" s="5">
        <v>897051.2</v>
      </c>
      <c r="H46" s="5">
        <v>3727354.8</v>
      </c>
      <c r="I46" s="5">
        <v>17523.807</v>
      </c>
      <c r="J46" s="5">
        <v>380817.325</v>
      </c>
      <c r="K46" s="5">
        <v>1205582.5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8">
        <f t="shared" si="2"/>
        <v>6233955.808</v>
      </c>
    </row>
    <row r="47" spans="1:18">
      <c r="A47" s="4" t="s">
        <v>24</v>
      </c>
      <c r="B47" s="4" t="s">
        <v>68</v>
      </c>
      <c r="C47" s="4" t="s">
        <v>71</v>
      </c>
      <c r="D47" s="5">
        <v>350.5084</v>
      </c>
      <c r="E47" s="5">
        <v>0</v>
      </c>
      <c r="F47" s="5">
        <v>0</v>
      </c>
      <c r="G47" s="5">
        <v>0</v>
      </c>
      <c r="H47" s="5">
        <v>428230</v>
      </c>
      <c r="I47" s="5">
        <v>761.7705</v>
      </c>
      <c r="J47" s="5">
        <v>34066.04</v>
      </c>
      <c r="K47" s="5">
        <v>55572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8">
        <f t="shared" si="2"/>
        <v>518980.3189</v>
      </c>
    </row>
    <row r="48" spans="1:18">
      <c r="A48" s="4" t="s">
        <v>24</v>
      </c>
      <c r="B48" s="4" t="s">
        <v>68</v>
      </c>
      <c r="C48" s="4" t="s">
        <v>72</v>
      </c>
      <c r="D48" s="5">
        <v>854.3872</v>
      </c>
      <c r="E48" s="5">
        <v>0</v>
      </c>
      <c r="F48" s="5">
        <v>0</v>
      </c>
      <c r="G48" s="5">
        <v>164726.8</v>
      </c>
      <c r="H48" s="5">
        <v>36975</v>
      </c>
      <c r="I48" s="5">
        <v>10401.852</v>
      </c>
      <c r="J48" s="5">
        <v>219442.275</v>
      </c>
      <c r="K48" s="5">
        <v>564069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8">
        <f t="shared" si="2"/>
        <v>996469.3142</v>
      </c>
    </row>
    <row r="49" spans="1:18">
      <c r="A49" s="4" t="s">
        <v>24</v>
      </c>
      <c r="B49" s="4" t="s">
        <v>68</v>
      </c>
      <c r="C49" s="4" t="s">
        <v>73</v>
      </c>
      <c r="D49" s="5">
        <v>0.5324</v>
      </c>
      <c r="E49" s="5">
        <v>0</v>
      </c>
      <c r="F49" s="5">
        <v>0</v>
      </c>
      <c r="G49" s="5">
        <v>0</v>
      </c>
      <c r="H49" s="5">
        <v>31407.96</v>
      </c>
      <c r="I49" s="5">
        <v>1145.211</v>
      </c>
      <c r="J49" s="5">
        <v>621.64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8">
        <f t="shared" si="2"/>
        <v>33175.3434</v>
      </c>
    </row>
    <row r="50" spans="1:18">
      <c r="A50" s="4" t="s">
        <v>24</v>
      </c>
      <c r="B50" s="4" t="s">
        <v>68</v>
      </c>
      <c r="C50" s="4" t="s">
        <v>74</v>
      </c>
      <c r="D50" s="5">
        <v>827.3986</v>
      </c>
      <c r="E50" s="5">
        <v>0</v>
      </c>
      <c r="F50" s="5">
        <v>0</v>
      </c>
      <c r="G50" s="5">
        <v>66383.6</v>
      </c>
      <c r="H50" s="5">
        <v>854085.888</v>
      </c>
      <c r="I50" s="5">
        <v>3522.2775</v>
      </c>
      <c r="J50" s="5">
        <v>119001.6</v>
      </c>
      <c r="K50" s="5">
        <v>355687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8">
        <f t="shared" si="2"/>
        <v>1399507.7641</v>
      </c>
    </row>
    <row r="51" spans="1:18">
      <c r="A51" s="4" t="s">
        <v>24</v>
      </c>
      <c r="B51" s="4" t="s">
        <v>68</v>
      </c>
      <c r="C51" s="4" t="s">
        <v>75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8">
        <f t="shared" si="2"/>
        <v>0</v>
      </c>
    </row>
    <row r="52" spans="1:18">
      <c r="A52" s="4" t="s">
        <v>24</v>
      </c>
      <c r="B52" s="4" t="s">
        <v>68</v>
      </c>
      <c r="C52" s="4" t="s">
        <v>76</v>
      </c>
      <c r="D52" s="5">
        <v>990.3365</v>
      </c>
      <c r="E52" s="5">
        <v>0</v>
      </c>
      <c r="F52" s="5">
        <v>0</v>
      </c>
      <c r="G52" s="5">
        <v>151437.6</v>
      </c>
      <c r="H52" s="5">
        <v>1178384.6225</v>
      </c>
      <c r="I52" s="5">
        <v>6772.077</v>
      </c>
      <c r="J52" s="5">
        <v>132678.6675</v>
      </c>
      <c r="K52" s="5">
        <v>306826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8">
        <f t="shared" si="2"/>
        <v>1777089.3035</v>
      </c>
    </row>
    <row r="53" spans="1:18">
      <c r="A53" s="4" t="s">
        <v>24</v>
      </c>
      <c r="B53" s="4" t="s">
        <v>68</v>
      </c>
      <c r="C53" s="4" t="s">
        <v>77</v>
      </c>
      <c r="D53" s="5">
        <v>652.2475</v>
      </c>
      <c r="E53" s="5">
        <v>0</v>
      </c>
      <c r="F53" s="5">
        <v>0</v>
      </c>
      <c r="G53" s="5">
        <v>52832.4</v>
      </c>
      <c r="H53" s="5">
        <v>375615</v>
      </c>
      <c r="I53" s="5">
        <v>354.2715</v>
      </c>
      <c r="J53" s="5">
        <v>66127.88</v>
      </c>
      <c r="K53" s="5">
        <v>134762.5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8">
        <f t="shared" si="2"/>
        <v>630344.299</v>
      </c>
    </row>
    <row r="54" spans="1:18">
      <c r="A54" s="4" t="s">
        <v>24</v>
      </c>
      <c r="B54" s="4" t="s">
        <v>68</v>
      </c>
      <c r="C54" s="4" t="s">
        <v>78</v>
      </c>
      <c r="D54" s="5">
        <v>2.0441</v>
      </c>
      <c r="E54" s="5">
        <v>0</v>
      </c>
      <c r="F54" s="5">
        <v>0</v>
      </c>
      <c r="G54" s="5">
        <v>0</v>
      </c>
      <c r="H54" s="5">
        <v>15831.25</v>
      </c>
      <c r="I54" s="5">
        <v>1367.913</v>
      </c>
      <c r="J54" s="5">
        <v>306.7935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8">
        <f t="shared" si="2"/>
        <v>17508.0006</v>
      </c>
    </row>
    <row r="55" spans="1:18">
      <c r="A55" s="4" t="s">
        <v>24</v>
      </c>
      <c r="B55" s="4" t="s">
        <v>68</v>
      </c>
      <c r="C55" s="4" t="s">
        <v>79</v>
      </c>
      <c r="D55" s="5">
        <v>95.818</v>
      </c>
      <c r="E55" s="5">
        <v>0</v>
      </c>
      <c r="F55" s="5">
        <v>0</v>
      </c>
      <c r="G55" s="5">
        <v>0</v>
      </c>
      <c r="H55" s="5">
        <v>263645.55</v>
      </c>
      <c r="I55" s="5">
        <v>7043.355</v>
      </c>
      <c r="J55" s="5">
        <v>10892.75</v>
      </c>
      <c r="K55" s="5">
        <v>32950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8">
        <f t="shared" si="2"/>
        <v>314627.473</v>
      </c>
    </row>
    <row r="56" spans="1:18">
      <c r="A56" s="4" t="s">
        <v>24</v>
      </c>
      <c r="B56" s="4" t="s">
        <v>68</v>
      </c>
      <c r="C56" s="4" t="s">
        <v>80</v>
      </c>
      <c r="D56" s="5">
        <v>4.2292</v>
      </c>
      <c r="E56" s="5">
        <v>0</v>
      </c>
      <c r="F56" s="5">
        <v>0</v>
      </c>
      <c r="G56" s="5">
        <v>0</v>
      </c>
      <c r="H56" s="5">
        <v>18856.32</v>
      </c>
      <c r="I56" s="5">
        <v>21.7995</v>
      </c>
      <c r="J56" s="5">
        <v>508.65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8">
        <f t="shared" si="2"/>
        <v>19390.9987</v>
      </c>
    </row>
    <row r="57" spans="1:18">
      <c r="A57" s="4" t="s">
        <v>24</v>
      </c>
      <c r="B57" s="4" t="s">
        <v>68</v>
      </c>
      <c r="C57" s="4" t="s">
        <v>81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63.564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8">
        <f t="shared" si="2"/>
        <v>63.564</v>
      </c>
    </row>
    <row r="58" spans="1:18">
      <c r="A58" s="4" t="s">
        <v>24</v>
      </c>
      <c r="B58" s="4" t="s">
        <v>68</v>
      </c>
      <c r="C58" s="4" t="s">
        <v>82</v>
      </c>
      <c r="D58" s="5">
        <v>14.4353</v>
      </c>
      <c r="E58" s="5">
        <v>0</v>
      </c>
      <c r="F58" s="5">
        <v>0</v>
      </c>
      <c r="G58" s="5">
        <v>0</v>
      </c>
      <c r="H58" s="5">
        <v>45244.37</v>
      </c>
      <c r="I58" s="5">
        <v>15.186</v>
      </c>
      <c r="J58" s="5">
        <v>1784.2135</v>
      </c>
      <c r="K58" s="5">
        <v>2422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8">
        <f t="shared" si="2"/>
        <v>49480.2048</v>
      </c>
    </row>
    <row r="59" spans="1:18">
      <c r="A59" s="4" t="s">
        <v>24</v>
      </c>
      <c r="B59" s="4" t="s">
        <v>68</v>
      </c>
      <c r="C59" s="4" t="s">
        <v>83</v>
      </c>
      <c r="D59" s="5">
        <v>3630.9942</v>
      </c>
      <c r="E59" s="5">
        <v>0</v>
      </c>
      <c r="F59" s="5">
        <v>0</v>
      </c>
      <c r="G59" s="5">
        <v>665151.6</v>
      </c>
      <c r="H59" s="5">
        <v>0</v>
      </c>
      <c r="I59" s="5">
        <v>14.6025</v>
      </c>
      <c r="J59" s="5">
        <v>0</v>
      </c>
      <c r="K59" s="5">
        <v>816091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8">
        <f t="shared" si="2"/>
        <v>1484888.1967</v>
      </c>
    </row>
    <row r="60" spans="1:18">
      <c r="A60" s="4" t="s">
        <v>24</v>
      </c>
      <c r="B60" s="4" t="s">
        <v>68</v>
      </c>
      <c r="C60" s="4" t="s">
        <v>84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8">
        <f t="shared" si="2"/>
        <v>0</v>
      </c>
    </row>
    <row r="61" spans="1:18">
      <c r="A61" s="4" t="s">
        <v>24</v>
      </c>
      <c r="B61" s="4" t="s">
        <v>68</v>
      </c>
      <c r="C61" s="4" t="s">
        <v>85</v>
      </c>
      <c r="D61" s="5">
        <v>1232.3648</v>
      </c>
      <c r="E61" s="5">
        <v>0</v>
      </c>
      <c r="F61" s="5">
        <v>0</v>
      </c>
      <c r="G61" s="5">
        <v>119028.4</v>
      </c>
      <c r="H61" s="5">
        <v>653063.16</v>
      </c>
      <c r="I61" s="5">
        <v>5226.537</v>
      </c>
      <c r="J61" s="5">
        <v>121093.06</v>
      </c>
      <c r="K61" s="5">
        <v>335452.5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8">
        <f t="shared" si="2"/>
        <v>1235096.0218</v>
      </c>
    </row>
    <row r="62" spans="1:18">
      <c r="A62" s="4" t="s">
        <v>24</v>
      </c>
      <c r="B62" s="4" t="s">
        <v>68</v>
      </c>
      <c r="C62" s="4" t="s">
        <v>86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8">
        <f t="shared" si="2"/>
        <v>0</v>
      </c>
    </row>
    <row r="63" spans="1:18">
      <c r="A63" s="4" t="s">
        <v>24</v>
      </c>
      <c r="B63" s="4" t="s">
        <v>68</v>
      </c>
      <c r="C63" s="4" t="s">
        <v>87</v>
      </c>
      <c r="D63" s="5">
        <v>284.8085</v>
      </c>
      <c r="E63" s="5">
        <v>0</v>
      </c>
      <c r="F63" s="5">
        <v>0</v>
      </c>
      <c r="G63" s="5">
        <v>51750.4</v>
      </c>
      <c r="H63" s="5">
        <v>90333.74</v>
      </c>
      <c r="I63" s="5">
        <v>129518.391</v>
      </c>
      <c r="J63" s="5">
        <v>26174.54</v>
      </c>
      <c r="K63" s="5">
        <v>47697.5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8">
        <f t="shared" si="2"/>
        <v>345759.3795</v>
      </c>
    </row>
    <row r="64" spans="1:18">
      <c r="A64" s="4" t="s">
        <v>24</v>
      </c>
      <c r="B64" s="4" t="s">
        <v>68</v>
      </c>
      <c r="C64" s="4" t="s">
        <v>88</v>
      </c>
      <c r="D64" s="5">
        <v>3062.2915</v>
      </c>
      <c r="E64" s="5">
        <v>0</v>
      </c>
      <c r="F64" s="5">
        <v>0</v>
      </c>
      <c r="G64" s="5">
        <v>615063.2</v>
      </c>
      <c r="H64" s="5">
        <v>1152658.1772</v>
      </c>
      <c r="I64" s="5">
        <v>11385.9225</v>
      </c>
      <c r="J64" s="5">
        <v>295657.9586</v>
      </c>
      <c r="K64" s="5">
        <v>756324.5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8">
        <f t="shared" si="2"/>
        <v>2834152.0498</v>
      </c>
    </row>
    <row r="65" spans="1:18">
      <c r="A65" s="4" t="s">
        <v>24</v>
      </c>
      <c r="B65" s="4" t="s">
        <v>68</v>
      </c>
      <c r="C65" s="4" t="s">
        <v>89</v>
      </c>
      <c r="D65" s="5">
        <v>57.1752</v>
      </c>
      <c r="E65" s="5">
        <v>0</v>
      </c>
      <c r="F65" s="5">
        <v>0</v>
      </c>
      <c r="G65" s="5">
        <v>0</v>
      </c>
      <c r="H65" s="5">
        <v>111922.8</v>
      </c>
      <c r="I65" s="5">
        <v>1188.363</v>
      </c>
      <c r="J65" s="5">
        <v>3258.8915</v>
      </c>
      <c r="K65" s="5">
        <v>23831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8">
        <f t="shared" si="2"/>
        <v>140258.2297</v>
      </c>
    </row>
    <row r="66" spans="1:18">
      <c r="A66" s="4" t="s">
        <v>24</v>
      </c>
      <c r="B66" s="4" t="s">
        <v>68</v>
      </c>
      <c r="C66" s="4" t="s">
        <v>90</v>
      </c>
      <c r="D66" s="5">
        <v>1493.0614</v>
      </c>
      <c r="E66" s="5">
        <v>0</v>
      </c>
      <c r="F66" s="5">
        <v>0</v>
      </c>
      <c r="G66" s="5">
        <v>207136</v>
      </c>
      <c r="H66" s="5">
        <v>312069</v>
      </c>
      <c r="I66" s="5">
        <v>22078.065</v>
      </c>
      <c r="J66" s="5">
        <v>147370.9305</v>
      </c>
      <c r="K66" s="5">
        <v>216947.5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8">
        <f t="shared" si="2"/>
        <v>907094.5569</v>
      </c>
    </row>
    <row r="67" spans="1:18">
      <c r="A67" s="4" t="s">
        <v>24</v>
      </c>
      <c r="B67" s="4" t="s">
        <v>68</v>
      </c>
      <c r="C67" s="4" t="s">
        <v>91</v>
      </c>
      <c r="D67" s="5">
        <v>0.4888</v>
      </c>
      <c r="E67" s="5">
        <v>0</v>
      </c>
      <c r="F67" s="5">
        <v>0</v>
      </c>
      <c r="G67" s="5">
        <v>0</v>
      </c>
      <c r="H67" s="5">
        <v>11204.16</v>
      </c>
      <c r="I67" s="5">
        <v>0</v>
      </c>
      <c r="J67" s="5">
        <v>80.74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8">
        <f t="shared" si="2"/>
        <v>11285.3888</v>
      </c>
    </row>
    <row r="68" spans="1:18">
      <c r="A68" s="4" t="s">
        <v>24</v>
      </c>
      <c r="B68" s="4" t="s">
        <v>68</v>
      </c>
      <c r="C68" s="4" t="s">
        <v>92</v>
      </c>
      <c r="D68" s="5">
        <v>1466.3734</v>
      </c>
      <c r="E68" s="5">
        <v>0</v>
      </c>
      <c r="F68" s="5">
        <v>0</v>
      </c>
      <c r="G68" s="5">
        <v>146855.2</v>
      </c>
      <c r="H68" s="5">
        <v>0</v>
      </c>
      <c r="I68" s="5">
        <v>2079.9675</v>
      </c>
      <c r="J68" s="5">
        <v>0</v>
      </c>
      <c r="K68" s="5">
        <v>473863.5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8">
        <f t="shared" si="2"/>
        <v>624265.0409</v>
      </c>
    </row>
    <row r="69" spans="1:18">
      <c r="A69" s="4" t="s">
        <v>24</v>
      </c>
      <c r="B69" s="4" t="s">
        <v>93</v>
      </c>
      <c r="C69" s="4" t="s">
        <v>94</v>
      </c>
      <c r="D69" s="5">
        <v>0</v>
      </c>
      <c r="E69" s="5">
        <v>3.6756</v>
      </c>
      <c r="F69" s="5">
        <v>0</v>
      </c>
      <c r="G69" s="5">
        <v>0</v>
      </c>
      <c r="H69" s="5">
        <v>0</v>
      </c>
      <c r="I69" s="5">
        <v>54058.683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8">
        <f t="shared" si="2"/>
        <v>54062.3586</v>
      </c>
    </row>
    <row r="70" spans="1:18">
      <c r="A70" s="4" t="s">
        <v>24</v>
      </c>
      <c r="B70" s="4" t="s">
        <v>93</v>
      </c>
      <c r="C70" s="4" t="s">
        <v>95</v>
      </c>
      <c r="D70" s="5">
        <v>2.0153</v>
      </c>
      <c r="E70" s="5">
        <v>0</v>
      </c>
      <c r="F70" s="5">
        <v>0</v>
      </c>
      <c r="G70" s="5">
        <v>2547.2</v>
      </c>
      <c r="H70" s="5">
        <v>0</v>
      </c>
      <c r="I70" s="5">
        <v>0</v>
      </c>
      <c r="J70" s="5">
        <v>8423.5379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8">
        <f t="shared" ref="R70:R101" si="3">SUM(D70:Q70)</f>
        <v>10972.7532</v>
      </c>
    </row>
    <row r="71" spans="1:18">
      <c r="A71" s="4" t="s">
        <v>24</v>
      </c>
      <c r="B71" s="4" t="s">
        <v>93</v>
      </c>
      <c r="C71" s="4" t="s">
        <v>96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112.164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8">
        <f t="shared" si="3"/>
        <v>112.164</v>
      </c>
    </row>
    <row r="72" spans="1:18">
      <c r="A72" s="4" t="s">
        <v>24</v>
      </c>
      <c r="B72" s="4" t="s">
        <v>93</v>
      </c>
      <c r="C72" s="4" t="s">
        <v>97</v>
      </c>
      <c r="D72" s="5">
        <v>1.3901</v>
      </c>
      <c r="E72" s="5">
        <v>0</v>
      </c>
      <c r="F72" s="5">
        <v>0</v>
      </c>
      <c r="G72" s="5">
        <v>1665.2</v>
      </c>
      <c r="H72" s="5">
        <v>0</v>
      </c>
      <c r="I72" s="5">
        <v>20053.2465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8">
        <f t="shared" si="3"/>
        <v>21719.8366</v>
      </c>
    </row>
    <row r="73" spans="1:18">
      <c r="A73" s="4" t="s">
        <v>24</v>
      </c>
      <c r="B73" s="4" t="s">
        <v>93</v>
      </c>
      <c r="C73" s="4" t="s">
        <v>98</v>
      </c>
      <c r="D73" s="5">
        <v>3.1172</v>
      </c>
      <c r="E73" s="5">
        <v>0</v>
      </c>
      <c r="F73" s="5">
        <v>0</v>
      </c>
      <c r="G73" s="5">
        <v>3969.6</v>
      </c>
      <c r="H73" s="5">
        <v>0</v>
      </c>
      <c r="I73" s="5">
        <v>9.4755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8">
        <f t="shared" si="3"/>
        <v>3982.1927</v>
      </c>
    </row>
    <row r="74" spans="1:18">
      <c r="A74" s="4" t="s">
        <v>24</v>
      </c>
      <c r="B74" s="4" t="s">
        <v>93</v>
      </c>
      <c r="C74" s="4" t="s">
        <v>99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487.5915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8">
        <f t="shared" si="3"/>
        <v>487.5915</v>
      </c>
    </row>
    <row r="75" spans="1:18">
      <c r="A75" s="4" t="s">
        <v>24</v>
      </c>
      <c r="B75" s="4" t="s">
        <v>93</v>
      </c>
      <c r="C75" s="4" t="s">
        <v>100</v>
      </c>
      <c r="D75" s="5">
        <v>13.3308</v>
      </c>
      <c r="E75" s="5">
        <v>0.864</v>
      </c>
      <c r="F75" s="5">
        <v>0</v>
      </c>
      <c r="G75" s="5">
        <v>13941.2</v>
      </c>
      <c r="H75" s="5">
        <v>0</v>
      </c>
      <c r="I75" s="5">
        <v>15922.584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8">
        <f t="shared" si="3"/>
        <v>29877.9788</v>
      </c>
    </row>
    <row r="76" spans="1:18">
      <c r="A76" s="4" t="s">
        <v>24</v>
      </c>
      <c r="B76" s="4" t="s">
        <v>93</v>
      </c>
      <c r="C76" s="4" t="s">
        <v>101</v>
      </c>
      <c r="D76" s="5">
        <v>1.3064</v>
      </c>
      <c r="E76" s="5">
        <v>237.9456</v>
      </c>
      <c r="F76" s="5">
        <v>0</v>
      </c>
      <c r="G76" s="5">
        <v>0</v>
      </c>
      <c r="H76" s="5">
        <v>0</v>
      </c>
      <c r="I76" s="5">
        <v>163.7745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8">
        <f t="shared" si="3"/>
        <v>403.0265</v>
      </c>
    </row>
    <row r="77" spans="1:18">
      <c r="A77" s="4" t="s">
        <v>24</v>
      </c>
      <c r="B77" s="4" t="s">
        <v>93</v>
      </c>
      <c r="C77" s="4" t="s">
        <v>102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18551.7975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8">
        <f t="shared" si="3"/>
        <v>18551.7975</v>
      </c>
    </row>
    <row r="78" spans="1:18">
      <c r="A78" s="4" t="s">
        <v>24</v>
      </c>
      <c r="B78" s="4" t="s">
        <v>93</v>
      </c>
      <c r="C78" s="4" t="s">
        <v>103</v>
      </c>
      <c r="D78" s="5">
        <v>0.0997</v>
      </c>
      <c r="E78" s="5">
        <v>0</v>
      </c>
      <c r="F78" s="5">
        <v>0</v>
      </c>
      <c r="G78" s="5">
        <v>0</v>
      </c>
      <c r="H78" s="5">
        <v>0</v>
      </c>
      <c r="I78" s="5">
        <v>11503.5675</v>
      </c>
      <c r="J78" s="5">
        <v>8154.2456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8">
        <f t="shared" si="3"/>
        <v>19657.9128</v>
      </c>
    </row>
    <row r="79" spans="1:18">
      <c r="A79" s="4" t="s">
        <v>24</v>
      </c>
      <c r="B79" s="4" t="s">
        <v>93</v>
      </c>
      <c r="C79" s="4" t="s">
        <v>104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1973.9895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8">
        <f t="shared" si="3"/>
        <v>1973.9895</v>
      </c>
    </row>
    <row r="80" spans="1:18">
      <c r="A80" s="4" t="s">
        <v>24</v>
      </c>
      <c r="B80" s="4" t="s">
        <v>93</v>
      </c>
      <c r="C80" s="4" t="s">
        <v>105</v>
      </c>
      <c r="D80" s="5">
        <v>0.1267</v>
      </c>
      <c r="E80" s="5">
        <v>0</v>
      </c>
      <c r="F80" s="5">
        <v>0</v>
      </c>
      <c r="G80" s="5">
        <v>0</v>
      </c>
      <c r="H80" s="5">
        <v>0</v>
      </c>
      <c r="I80" s="5">
        <v>73.9065</v>
      </c>
      <c r="J80" s="5">
        <v>19155.0833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8">
        <f t="shared" si="3"/>
        <v>19229.1165</v>
      </c>
    </row>
    <row r="81" spans="1:18">
      <c r="A81" s="4" t="s">
        <v>24</v>
      </c>
      <c r="B81" s="4" t="s">
        <v>93</v>
      </c>
      <c r="C81" s="4" t="s">
        <v>106</v>
      </c>
      <c r="D81" s="5">
        <v>1.4508</v>
      </c>
      <c r="E81" s="5">
        <v>0</v>
      </c>
      <c r="F81" s="5">
        <v>0</v>
      </c>
      <c r="G81" s="5">
        <v>0</v>
      </c>
      <c r="H81" s="5">
        <v>0</v>
      </c>
      <c r="I81" s="5">
        <v>16250.5845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8">
        <f t="shared" si="3"/>
        <v>16252.0353</v>
      </c>
    </row>
    <row r="82" spans="1:18">
      <c r="A82" s="4" t="s">
        <v>24</v>
      </c>
      <c r="B82" s="4" t="s">
        <v>93</v>
      </c>
      <c r="C82" s="4" t="s">
        <v>107</v>
      </c>
      <c r="D82" s="5">
        <v>4.3446</v>
      </c>
      <c r="E82" s="5">
        <v>0</v>
      </c>
      <c r="F82" s="5">
        <v>0</v>
      </c>
      <c r="G82" s="5">
        <v>7190</v>
      </c>
      <c r="H82" s="5">
        <v>0</v>
      </c>
      <c r="I82" s="5">
        <v>84142.2405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8">
        <f t="shared" si="3"/>
        <v>91336.5851</v>
      </c>
    </row>
    <row r="83" spans="1:18">
      <c r="A83" s="4" t="s">
        <v>24</v>
      </c>
      <c r="B83" s="4" t="s">
        <v>93</v>
      </c>
      <c r="C83" s="4" t="s">
        <v>108</v>
      </c>
      <c r="D83" s="5">
        <v>8.0317</v>
      </c>
      <c r="E83" s="5">
        <v>5860.3046</v>
      </c>
      <c r="F83" s="5">
        <v>0</v>
      </c>
      <c r="G83" s="5">
        <v>8076</v>
      </c>
      <c r="H83" s="5">
        <v>0</v>
      </c>
      <c r="I83" s="5">
        <v>14805.756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8">
        <f t="shared" si="3"/>
        <v>28750.0923</v>
      </c>
    </row>
    <row r="84" spans="1:18">
      <c r="A84" s="4" t="s">
        <v>24</v>
      </c>
      <c r="B84" s="4" t="s">
        <v>93</v>
      </c>
      <c r="C84" s="4" t="s">
        <v>109</v>
      </c>
      <c r="D84" s="5">
        <v>4.6303</v>
      </c>
      <c r="E84" s="5">
        <v>29.8368</v>
      </c>
      <c r="F84" s="5">
        <v>0</v>
      </c>
      <c r="G84" s="5">
        <v>7952</v>
      </c>
      <c r="H84" s="5">
        <v>0</v>
      </c>
      <c r="I84" s="5">
        <v>141.351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8">
        <f t="shared" si="3"/>
        <v>8127.8181</v>
      </c>
    </row>
    <row r="85" spans="1:18">
      <c r="A85" s="4" t="s">
        <v>24</v>
      </c>
      <c r="B85" s="4" t="s">
        <v>93</v>
      </c>
      <c r="C85" s="4" t="s">
        <v>110</v>
      </c>
      <c r="D85" s="5">
        <v>1.9586</v>
      </c>
      <c r="E85" s="5">
        <v>0</v>
      </c>
      <c r="F85" s="5">
        <v>0</v>
      </c>
      <c r="G85" s="5">
        <v>0</v>
      </c>
      <c r="H85" s="5">
        <v>0</v>
      </c>
      <c r="I85" s="5">
        <v>443.0805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8">
        <f t="shared" si="3"/>
        <v>445.0391</v>
      </c>
    </row>
    <row r="86" spans="1:18">
      <c r="A86" s="4" t="s">
        <v>24</v>
      </c>
      <c r="B86" s="4" t="s">
        <v>93</v>
      </c>
      <c r="C86" s="4" t="s">
        <v>111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93.8955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8">
        <f t="shared" si="3"/>
        <v>93.8955</v>
      </c>
    </row>
    <row r="87" spans="1:18">
      <c r="A87" s="4" t="s">
        <v>24</v>
      </c>
      <c r="B87" s="4" t="s">
        <v>93</v>
      </c>
      <c r="C87" s="4" t="s">
        <v>112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9.9675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8">
        <f t="shared" si="3"/>
        <v>9.9675</v>
      </c>
    </row>
    <row r="88" spans="1:18">
      <c r="A88" s="4" t="s">
        <v>24</v>
      </c>
      <c r="B88" s="4" t="s">
        <v>93</v>
      </c>
      <c r="C88" s="4" t="s">
        <v>113</v>
      </c>
      <c r="D88" s="5">
        <v>1.7676</v>
      </c>
      <c r="E88" s="5">
        <v>0</v>
      </c>
      <c r="F88" s="5">
        <v>0</v>
      </c>
      <c r="G88" s="5">
        <v>0</v>
      </c>
      <c r="H88" s="5">
        <v>0</v>
      </c>
      <c r="I88" s="5">
        <v>375.102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8">
        <f t="shared" si="3"/>
        <v>376.8696</v>
      </c>
    </row>
    <row r="89" spans="1:18">
      <c r="A89" s="4" t="s">
        <v>24</v>
      </c>
      <c r="B89" s="4" t="s">
        <v>93</v>
      </c>
      <c r="C89" s="4" t="s">
        <v>114</v>
      </c>
      <c r="D89" s="5">
        <v>1.1642</v>
      </c>
      <c r="E89" s="5">
        <v>0</v>
      </c>
      <c r="F89" s="5">
        <v>0</v>
      </c>
      <c r="G89" s="5">
        <v>2587.2</v>
      </c>
      <c r="H89" s="5">
        <v>0</v>
      </c>
      <c r="I89" s="5">
        <v>4030.2465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8">
        <f t="shared" si="3"/>
        <v>6618.6107</v>
      </c>
    </row>
    <row r="90" spans="1:18">
      <c r="A90" s="4" t="s">
        <v>24</v>
      </c>
      <c r="B90" s="4" t="s">
        <v>93</v>
      </c>
      <c r="C90" s="4" t="s">
        <v>115</v>
      </c>
      <c r="D90" s="5">
        <v>2.2541</v>
      </c>
      <c r="E90" s="5">
        <v>0</v>
      </c>
      <c r="F90" s="5">
        <v>0</v>
      </c>
      <c r="G90" s="5">
        <v>0</v>
      </c>
      <c r="H90" s="5">
        <v>0</v>
      </c>
      <c r="I90" s="5">
        <v>10460.4555</v>
      </c>
      <c r="J90" s="5">
        <v>48956.66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8">
        <f t="shared" si="3"/>
        <v>59419.3696</v>
      </c>
    </row>
    <row r="91" spans="1:18">
      <c r="A91" s="4" t="s">
        <v>24</v>
      </c>
      <c r="B91" s="4" t="s">
        <v>93</v>
      </c>
      <c r="C91" s="4" t="s">
        <v>116</v>
      </c>
      <c r="D91" s="5">
        <v>2.4335</v>
      </c>
      <c r="E91" s="5">
        <v>0</v>
      </c>
      <c r="F91" s="5">
        <v>0</v>
      </c>
      <c r="G91" s="5">
        <v>4776</v>
      </c>
      <c r="H91" s="5">
        <v>0</v>
      </c>
      <c r="I91" s="5">
        <v>233.823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8">
        <f t="shared" si="3"/>
        <v>5012.2565</v>
      </c>
    </row>
    <row r="92" spans="1:18">
      <c r="A92" s="4" t="s">
        <v>24</v>
      </c>
      <c r="B92" s="4" t="s">
        <v>93</v>
      </c>
      <c r="C92" s="4" t="s">
        <v>117</v>
      </c>
      <c r="D92" s="5">
        <v>2.9998</v>
      </c>
      <c r="E92" s="5">
        <v>0</v>
      </c>
      <c r="F92" s="5">
        <v>0</v>
      </c>
      <c r="G92" s="5">
        <v>2683.6</v>
      </c>
      <c r="H92" s="5">
        <v>0</v>
      </c>
      <c r="I92" s="5">
        <v>37.2975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8">
        <f t="shared" si="3"/>
        <v>2723.8973</v>
      </c>
    </row>
    <row r="93" spans="1:18">
      <c r="A93" s="4" t="s">
        <v>24</v>
      </c>
      <c r="B93" s="4" t="s">
        <v>93</v>
      </c>
      <c r="C93" s="4" t="s">
        <v>118</v>
      </c>
      <c r="D93" s="5">
        <v>13.8851</v>
      </c>
      <c r="E93" s="5">
        <v>0</v>
      </c>
      <c r="F93" s="5">
        <v>0</v>
      </c>
      <c r="G93" s="5">
        <v>0</v>
      </c>
      <c r="H93" s="5">
        <v>0</v>
      </c>
      <c r="I93" s="5">
        <v>66872.0205</v>
      </c>
      <c r="J93" s="5">
        <v>48540.855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8">
        <f t="shared" si="3"/>
        <v>115426.7606</v>
      </c>
    </row>
    <row r="94" spans="1:18">
      <c r="A94" s="4" t="s">
        <v>24</v>
      </c>
      <c r="B94" s="4" t="s">
        <v>93</v>
      </c>
      <c r="C94" s="4" t="s">
        <v>119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474.2325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8">
        <f t="shared" si="3"/>
        <v>474.2325</v>
      </c>
    </row>
    <row r="95" spans="1:18">
      <c r="A95" s="4" t="s">
        <v>24</v>
      </c>
      <c r="B95" s="4" t="s">
        <v>93</v>
      </c>
      <c r="C95" s="4" t="s">
        <v>120</v>
      </c>
      <c r="D95" s="5">
        <v>0.2513</v>
      </c>
      <c r="E95" s="5">
        <v>0</v>
      </c>
      <c r="F95" s="5">
        <v>0</v>
      </c>
      <c r="G95" s="5">
        <v>0</v>
      </c>
      <c r="H95" s="5">
        <v>0</v>
      </c>
      <c r="I95" s="5">
        <v>151068.339</v>
      </c>
      <c r="J95" s="5">
        <v>34171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8">
        <f t="shared" si="3"/>
        <v>185239.5903</v>
      </c>
    </row>
    <row r="96" spans="1:18">
      <c r="A96" s="4" t="s">
        <v>24</v>
      </c>
      <c r="B96" s="4" t="s">
        <v>93</v>
      </c>
      <c r="C96" s="4" t="s">
        <v>121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114.153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8">
        <f t="shared" si="3"/>
        <v>114.153</v>
      </c>
    </row>
    <row r="97" spans="1:18">
      <c r="A97" s="4" t="s">
        <v>24</v>
      </c>
      <c r="B97" s="4" t="s">
        <v>93</v>
      </c>
      <c r="C97" s="4" t="s">
        <v>122</v>
      </c>
      <c r="D97" s="5">
        <v>6.2886</v>
      </c>
      <c r="E97" s="5">
        <v>0</v>
      </c>
      <c r="F97" s="5">
        <v>0</v>
      </c>
      <c r="G97" s="5">
        <v>8903.2</v>
      </c>
      <c r="H97" s="5">
        <v>0</v>
      </c>
      <c r="I97" s="5">
        <v>8331.5805</v>
      </c>
      <c r="J97" s="5">
        <v>25030.5175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8">
        <f t="shared" si="3"/>
        <v>42271.5866</v>
      </c>
    </row>
    <row r="98" spans="1:18">
      <c r="A98" s="4" t="s">
        <v>24</v>
      </c>
      <c r="B98" s="4" t="s">
        <v>93</v>
      </c>
      <c r="C98" s="4" t="s">
        <v>123</v>
      </c>
      <c r="D98" s="5">
        <v>3.9722</v>
      </c>
      <c r="E98" s="5">
        <v>0</v>
      </c>
      <c r="F98" s="5">
        <v>0</v>
      </c>
      <c r="G98" s="5">
        <v>5313.2</v>
      </c>
      <c r="H98" s="5">
        <v>0</v>
      </c>
      <c r="I98" s="5">
        <v>42958.4085</v>
      </c>
      <c r="J98" s="5">
        <v>16734.5487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8">
        <f t="shared" si="3"/>
        <v>65010.1294</v>
      </c>
    </row>
    <row r="99" spans="1:18">
      <c r="A99" s="4" t="s">
        <v>24</v>
      </c>
      <c r="B99" s="4" t="s">
        <v>93</v>
      </c>
      <c r="C99" s="4" t="s">
        <v>124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8">
        <f t="shared" si="3"/>
        <v>0</v>
      </c>
    </row>
    <row r="100" spans="1:18">
      <c r="A100" s="4" t="s">
        <v>24</v>
      </c>
      <c r="B100" s="4" t="s">
        <v>93</v>
      </c>
      <c r="C100" s="4" t="s">
        <v>125</v>
      </c>
      <c r="D100" s="5">
        <v>3.6247</v>
      </c>
      <c r="E100" s="5">
        <v>0</v>
      </c>
      <c r="F100" s="5">
        <v>0</v>
      </c>
      <c r="G100" s="5">
        <v>5283.2</v>
      </c>
      <c r="H100" s="5">
        <v>0</v>
      </c>
      <c r="I100" s="5">
        <v>43.95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8">
        <f t="shared" si="3"/>
        <v>5330.7747</v>
      </c>
    </row>
    <row r="101" spans="1:18">
      <c r="A101" s="4" t="s">
        <v>24</v>
      </c>
      <c r="B101" s="4" t="s">
        <v>93</v>
      </c>
      <c r="C101" s="4" t="s">
        <v>126</v>
      </c>
      <c r="D101" s="5">
        <v>2.7545</v>
      </c>
      <c r="E101" s="5">
        <v>0</v>
      </c>
      <c r="F101" s="5">
        <v>0</v>
      </c>
      <c r="G101" s="5">
        <v>0</v>
      </c>
      <c r="H101" s="5">
        <v>0</v>
      </c>
      <c r="I101" s="5">
        <v>599.076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8">
        <f t="shared" si="3"/>
        <v>601.8305</v>
      </c>
    </row>
    <row r="102" spans="1:18">
      <c r="A102" s="4" t="s">
        <v>24</v>
      </c>
      <c r="B102" s="4" t="s">
        <v>93</v>
      </c>
      <c r="C102" s="4" t="s">
        <v>127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56893.0365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8">
        <f t="shared" ref="R102:R133" si="4">SUM(D102:Q102)</f>
        <v>56893.0365</v>
      </c>
    </row>
    <row r="103" spans="1:18">
      <c r="A103" s="4" t="s">
        <v>24</v>
      </c>
      <c r="B103" s="4" t="s">
        <v>93</v>
      </c>
      <c r="C103" s="4" t="s">
        <v>128</v>
      </c>
      <c r="D103" s="5">
        <v>1.1159</v>
      </c>
      <c r="E103" s="5">
        <v>0</v>
      </c>
      <c r="F103" s="5">
        <v>0</v>
      </c>
      <c r="G103" s="5">
        <v>1825.2</v>
      </c>
      <c r="H103" s="5">
        <v>0</v>
      </c>
      <c r="I103" s="5">
        <v>73.5225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8">
        <f t="shared" si="4"/>
        <v>1899.8384</v>
      </c>
    </row>
    <row r="104" spans="1:18">
      <c r="A104" s="4" t="s">
        <v>24</v>
      </c>
      <c r="B104" s="4" t="s">
        <v>93</v>
      </c>
      <c r="C104" s="4" t="s">
        <v>129</v>
      </c>
      <c r="D104" s="5">
        <v>16.1716</v>
      </c>
      <c r="E104" s="5">
        <v>0</v>
      </c>
      <c r="F104" s="5">
        <v>0</v>
      </c>
      <c r="G104" s="5">
        <v>21408.8</v>
      </c>
      <c r="H104" s="5">
        <v>0</v>
      </c>
      <c r="I104" s="5">
        <v>94.9875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8">
        <f t="shared" si="4"/>
        <v>21519.9591</v>
      </c>
    </row>
    <row r="105" spans="1:18">
      <c r="A105" s="4" t="s">
        <v>24</v>
      </c>
      <c r="B105" s="4" t="s">
        <v>93</v>
      </c>
      <c r="C105" s="4" t="s">
        <v>130</v>
      </c>
      <c r="D105" s="5">
        <v>1.1218</v>
      </c>
      <c r="E105" s="5">
        <v>0</v>
      </c>
      <c r="F105" s="5">
        <v>0</v>
      </c>
      <c r="G105" s="5">
        <v>1158.8</v>
      </c>
      <c r="H105" s="5">
        <v>0</v>
      </c>
      <c r="I105" s="5">
        <v>21047.565</v>
      </c>
      <c r="J105" s="5">
        <v>7960.623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8">
        <f t="shared" si="4"/>
        <v>30168.1098</v>
      </c>
    </row>
    <row r="106" spans="1:18">
      <c r="A106" s="4" t="s">
        <v>24</v>
      </c>
      <c r="B106" s="4" t="s">
        <v>93</v>
      </c>
      <c r="C106" s="4" t="s">
        <v>131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1461.357</v>
      </c>
      <c r="J106" s="5">
        <v>15154.45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8">
        <f t="shared" si="4"/>
        <v>16615.807</v>
      </c>
    </row>
    <row r="107" spans="1:18">
      <c r="A107" s="4" t="s">
        <v>24</v>
      </c>
      <c r="B107" s="4" t="s">
        <v>93</v>
      </c>
      <c r="C107" s="4" t="s">
        <v>132</v>
      </c>
      <c r="D107" s="5">
        <v>1.0668</v>
      </c>
      <c r="E107" s="5">
        <v>637.2864</v>
      </c>
      <c r="F107" s="5">
        <v>0</v>
      </c>
      <c r="G107" s="5">
        <v>1371.2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8">
        <f t="shared" si="4"/>
        <v>2009.5532</v>
      </c>
    </row>
    <row r="108" spans="1:18">
      <c r="A108" s="4" t="s">
        <v>24</v>
      </c>
      <c r="B108" s="4" t="s">
        <v>93</v>
      </c>
      <c r="C108" s="4" t="s">
        <v>133</v>
      </c>
      <c r="D108" s="5">
        <v>3.7574</v>
      </c>
      <c r="E108" s="5">
        <v>221.76</v>
      </c>
      <c r="F108" s="5">
        <v>0</v>
      </c>
      <c r="G108" s="5">
        <v>4108</v>
      </c>
      <c r="H108" s="5">
        <v>0</v>
      </c>
      <c r="I108" s="5">
        <v>136.023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8">
        <f t="shared" si="4"/>
        <v>4469.5404</v>
      </c>
    </row>
    <row r="109" spans="1:18">
      <c r="A109" s="4" t="s">
        <v>24</v>
      </c>
      <c r="B109" s="4" t="s">
        <v>93</v>
      </c>
      <c r="C109" s="4" t="s">
        <v>134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224.007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8">
        <f t="shared" si="4"/>
        <v>224.007</v>
      </c>
    </row>
    <row r="110" spans="1:18">
      <c r="A110" s="4" t="s">
        <v>24</v>
      </c>
      <c r="B110" s="4" t="s">
        <v>93</v>
      </c>
      <c r="C110" s="4" t="s">
        <v>135</v>
      </c>
      <c r="D110" s="5">
        <v>0.5213</v>
      </c>
      <c r="E110" s="5">
        <v>0.5645</v>
      </c>
      <c r="F110" s="5">
        <v>0</v>
      </c>
      <c r="G110" s="5">
        <v>0</v>
      </c>
      <c r="H110" s="5">
        <v>0</v>
      </c>
      <c r="I110" s="5">
        <v>25.584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8">
        <f t="shared" si="4"/>
        <v>26.6698</v>
      </c>
    </row>
    <row r="111" spans="1:18">
      <c r="A111" s="4" t="s">
        <v>24</v>
      </c>
      <c r="B111" s="4" t="s">
        <v>93</v>
      </c>
      <c r="C111" s="4" t="s">
        <v>136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155.6595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8">
        <f t="shared" si="4"/>
        <v>155.6595</v>
      </c>
    </row>
    <row r="112" spans="1:18">
      <c r="A112" s="4" t="s">
        <v>24</v>
      </c>
      <c r="B112" s="4" t="s">
        <v>93</v>
      </c>
      <c r="C112" s="4" t="s">
        <v>137</v>
      </c>
      <c r="D112" s="5">
        <v>0.8266</v>
      </c>
      <c r="E112" s="5">
        <v>0</v>
      </c>
      <c r="F112" s="5">
        <v>0</v>
      </c>
      <c r="G112" s="5">
        <v>1398.4</v>
      </c>
      <c r="H112" s="5">
        <v>0</v>
      </c>
      <c r="I112" s="5">
        <v>29722.6635</v>
      </c>
      <c r="J112" s="5">
        <v>7282.0297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8">
        <f t="shared" si="4"/>
        <v>38403.9198</v>
      </c>
    </row>
    <row r="113" spans="1:18">
      <c r="A113" s="4" t="s">
        <v>24</v>
      </c>
      <c r="B113" s="4" t="s">
        <v>93</v>
      </c>
      <c r="C113" s="4" t="s">
        <v>138</v>
      </c>
      <c r="D113" s="5">
        <v>0.4954</v>
      </c>
      <c r="E113" s="5">
        <v>0</v>
      </c>
      <c r="F113" s="5">
        <v>0</v>
      </c>
      <c r="G113" s="5">
        <v>742.4</v>
      </c>
      <c r="H113" s="5">
        <v>0</v>
      </c>
      <c r="I113" s="5">
        <v>84.165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8">
        <f t="shared" si="4"/>
        <v>827.0604</v>
      </c>
    </row>
    <row r="114" spans="1:18">
      <c r="A114" s="4" t="s">
        <v>24</v>
      </c>
      <c r="B114" s="4" t="s">
        <v>93</v>
      </c>
      <c r="C114" s="4" t="s">
        <v>139</v>
      </c>
      <c r="D114" s="5">
        <v>19.2468</v>
      </c>
      <c r="E114" s="5">
        <v>0</v>
      </c>
      <c r="F114" s="5">
        <v>0</v>
      </c>
      <c r="G114" s="5">
        <v>0</v>
      </c>
      <c r="H114" s="5">
        <v>0</v>
      </c>
      <c r="I114" s="5">
        <v>54962.457</v>
      </c>
      <c r="J114" s="5">
        <v>110456.5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8">
        <f t="shared" si="4"/>
        <v>165438.2038</v>
      </c>
    </row>
    <row r="115" spans="1:18">
      <c r="A115" s="4" t="s">
        <v>24</v>
      </c>
      <c r="B115" s="4" t="s">
        <v>93</v>
      </c>
      <c r="C115" s="4" t="s">
        <v>140</v>
      </c>
      <c r="D115" s="5">
        <v>0.4842</v>
      </c>
      <c r="E115" s="5">
        <v>0</v>
      </c>
      <c r="F115" s="5">
        <v>0</v>
      </c>
      <c r="G115" s="5">
        <v>0</v>
      </c>
      <c r="H115" s="5">
        <v>0</v>
      </c>
      <c r="I115" s="5">
        <v>168.948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8">
        <f t="shared" si="4"/>
        <v>169.4322</v>
      </c>
    </row>
    <row r="116" spans="1:18">
      <c r="A116" s="4" t="s">
        <v>24</v>
      </c>
      <c r="B116" s="4" t="s">
        <v>93</v>
      </c>
      <c r="C116" s="4" t="s">
        <v>141</v>
      </c>
      <c r="D116" s="5">
        <v>0.1806</v>
      </c>
      <c r="E116" s="5">
        <v>0</v>
      </c>
      <c r="F116" s="5">
        <v>0</v>
      </c>
      <c r="G116" s="5">
        <v>0</v>
      </c>
      <c r="H116" s="5">
        <v>0</v>
      </c>
      <c r="I116" s="5">
        <v>35650.5435</v>
      </c>
      <c r="J116" s="5">
        <v>13497.375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8">
        <f t="shared" si="4"/>
        <v>49148.0991</v>
      </c>
    </row>
    <row r="117" spans="1:18">
      <c r="A117" s="4" t="s">
        <v>24</v>
      </c>
      <c r="B117" s="4" t="s">
        <v>93</v>
      </c>
      <c r="C117" s="4" t="s">
        <v>142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8">
        <f t="shared" si="4"/>
        <v>0</v>
      </c>
    </row>
    <row r="118" spans="1:18">
      <c r="A118" s="4" t="s">
        <v>24</v>
      </c>
      <c r="B118" s="4" t="s">
        <v>93</v>
      </c>
      <c r="C118" s="4" t="s">
        <v>143</v>
      </c>
      <c r="D118" s="5">
        <v>1.8148</v>
      </c>
      <c r="E118" s="5">
        <v>0</v>
      </c>
      <c r="F118" s="5">
        <v>0</v>
      </c>
      <c r="G118" s="5">
        <v>2564</v>
      </c>
      <c r="H118" s="5">
        <v>0</v>
      </c>
      <c r="I118" s="5">
        <v>1037.508</v>
      </c>
      <c r="J118" s="5">
        <v>18310.5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8">
        <f t="shared" si="4"/>
        <v>21913.8228</v>
      </c>
    </row>
    <row r="119" spans="1:18">
      <c r="A119" s="4" t="s">
        <v>24</v>
      </c>
      <c r="B119" s="4" t="s">
        <v>93</v>
      </c>
      <c r="C119" s="4" t="s">
        <v>144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5956.959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8">
        <f t="shared" si="4"/>
        <v>5956.959</v>
      </c>
    </row>
    <row r="120" spans="1:18">
      <c r="A120" s="4" t="s">
        <v>24</v>
      </c>
      <c r="B120" s="4" t="s">
        <v>93</v>
      </c>
      <c r="C120" s="4" t="s">
        <v>145</v>
      </c>
      <c r="D120" s="5">
        <v>0.6379</v>
      </c>
      <c r="E120" s="5">
        <v>0</v>
      </c>
      <c r="F120" s="5">
        <v>0</v>
      </c>
      <c r="G120" s="5">
        <v>0</v>
      </c>
      <c r="H120" s="5">
        <v>0</v>
      </c>
      <c r="I120" s="5">
        <v>2.337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8">
        <f t="shared" si="4"/>
        <v>2.9749</v>
      </c>
    </row>
    <row r="121" spans="1:18">
      <c r="A121" s="4" t="s">
        <v>24</v>
      </c>
      <c r="B121" s="4" t="s">
        <v>93</v>
      </c>
      <c r="C121" s="4" t="s">
        <v>146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2.04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8">
        <f t="shared" si="4"/>
        <v>2.04</v>
      </c>
    </row>
    <row r="122" spans="1:18">
      <c r="A122" s="4" t="s">
        <v>24</v>
      </c>
      <c r="B122" s="4" t="s">
        <v>93</v>
      </c>
      <c r="C122" s="4" t="s">
        <v>147</v>
      </c>
      <c r="D122" s="5">
        <v>0.6486</v>
      </c>
      <c r="E122" s="5">
        <v>0</v>
      </c>
      <c r="F122" s="5">
        <v>0</v>
      </c>
      <c r="G122" s="5">
        <v>858.8</v>
      </c>
      <c r="H122" s="5">
        <v>0</v>
      </c>
      <c r="I122" s="5">
        <v>71.2185</v>
      </c>
      <c r="J122" s="5">
        <v>19124.896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8">
        <f t="shared" si="4"/>
        <v>20055.5631</v>
      </c>
    </row>
    <row r="123" spans="1:18">
      <c r="A123" s="4" t="s">
        <v>24</v>
      </c>
      <c r="B123" s="4" t="s">
        <v>93</v>
      </c>
      <c r="C123" s="4" t="s">
        <v>148</v>
      </c>
      <c r="D123" s="5">
        <v>14.5488</v>
      </c>
      <c r="E123" s="5">
        <v>0</v>
      </c>
      <c r="F123" s="5">
        <v>0</v>
      </c>
      <c r="G123" s="5">
        <v>20997.6</v>
      </c>
      <c r="H123" s="5">
        <v>0</v>
      </c>
      <c r="I123" s="5">
        <v>33682.923</v>
      </c>
      <c r="J123" s="5">
        <v>5068.8944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8">
        <f t="shared" si="4"/>
        <v>59763.9662</v>
      </c>
    </row>
    <row r="124" spans="1:18">
      <c r="A124" s="4" t="s">
        <v>24</v>
      </c>
      <c r="B124" s="4" t="s">
        <v>93</v>
      </c>
      <c r="C124" s="4" t="s">
        <v>149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61169.4855</v>
      </c>
      <c r="J124" s="5">
        <v>92498.2086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8">
        <f t="shared" si="4"/>
        <v>153667.6941</v>
      </c>
    </row>
    <row r="125" spans="1:18">
      <c r="A125" s="4" t="s">
        <v>24</v>
      </c>
      <c r="B125" s="4" t="s">
        <v>93</v>
      </c>
      <c r="C125" s="4" t="s">
        <v>150</v>
      </c>
      <c r="D125" s="5">
        <v>5.4287</v>
      </c>
      <c r="E125" s="5">
        <v>0</v>
      </c>
      <c r="F125" s="5">
        <v>0</v>
      </c>
      <c r="G125" s="5">
        <v>6740.8</v>
      </c>
      <c r="H125" s="5">
        <v>0</v>
      </c>
      <c r="I125" s="5">
        <v>203868.321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8">
        <f t="shared" si="4"/>
        <v>210614.5497</v>
      </c>
    </row>
    <row r="126" spans="1:18">
      <c r="A126" s="4" t="s">
        <v>24</v>
      </c>
      <c r="B126" s="4" t="s">
        <v>93</v>
      </c>
      <c r="C126" s="4" t="s">
        <v>151</v>
      </c>
      <c r="D126" s="5">
        <v>0.4352</v>
      </c>
      <c r="E126" s="5">
        <v>0</v>
      </c>
      <c r="F126" s="5">
        <v>0</v>
      </c>
      <c r="G126" s="5">
        <v>0</v>
      </c>
      <c r="H126" s="5">
        <v>0</v>
      </c>
      <c r="I126" s="5">
        <v>80.2125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8">
        <f t="shared" si="4"/>
        <v>80.6477</v>
      </c>
    </row>
    <row r="127" spans="1:18">
      <c r="A127" s="4" t="s">
        <v>24</v>
      </c>
      <c r="B127" s="4" t="s">
        <v>93</v>
      </c>
      <c r="C127" s="4" t="s">
        <v>152</v>
      </c>
      <c r="D127" s="5">
        <v>0</v>
      </c>
      <c r="E127" s="5">
        <v>0.576</v>
      </c>
      <c r="F127" s="5">
        <v>0</v>
      </c>
      <c r="G127" s="5">
        <v>0</v>
      </c>
      <c r="H127" s="5">
        <v>0</v>
      </c>
      <c r="I127" s="5">
        <v>17.103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8">
        <f t="shared" si="4"/>
        <v>17.679</v>
      </c>
    </row>
    <row r="128" spans="1:18">
      <c r="A128" s="4" t="s">
        <v>24</v>
      </c>
      <c r="B128" s="4" t="s">
        <v>93</v>
      </c>
      <c r="C128" s="4" t="s">
        <v>153</v>
      </c>
      <c r="D128" s="5">
        <v>1.5385</v>
      </c>
      <c r="E128" s="5">
        <v>0</v>
      </c>
      <c r="F128" s="5">
        <v>0</v>
      </c>
      <c r="G128" s="5">
        <v>2180.8</v>
      </c>
      <c r="H128" s="5">
        <v>0</v>
      </c>
      <c r="I128" s="5">
        <v>31415.7045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8">
        <f t="shared" si="4"/>
        <v>33598.043</v>
      </c>
    </row>
    <row r="129" spans="1:18">
      <c r="A129" s="4" t="s">
        <v>24</v>
      </c>
      <c r="B129" s="4" t="s">
        <v>93</v>
      </c>
      <c r="C129" s="4" t="s">
        <v>154</v>
      </c>
      <c r="D129" s="5">
        <v>2.3657</v>
      </c>
      <c r="E129" s="5">
        <v>0</v>
      </c>
      <c r="F129" s="5">
        <v>0</v>
      </c>
      <c r="G129" s="5">
        <v>1257.6</v>
      </c>
      <c r="H129" s="5">
        <v>0</v>
      </c>
      <c r="I129" s="5">
        <v>168.6885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8">
        <f t="shared" si="4"/>
        <v>1428.6542</v>
      </c>
    </row>
    <row r="130" spans="1:18">
      <c r="A130" s="4" t="s">
        <v>24</v>
      </c>
      <c r="B130" s="4" t="s">
        <v>93</v>
      </c>
      <c r="C130" s="4" t="s">
        <v>155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11.7825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8">
        <f t="shared" si="4"/>
        <v>11.7825</v>
      </c>
    </row>
    <row r="131" spans="1:18">
      <c r="A131" s="4" t="s">
        <v>24</v>
      </c>
      <c r="B131" s="4" t="s">
        <v>93</v>
      </c>
      <c r="C131" s="4" t="s">
        <v>156</v>
      </c>
      <c r="D131" s="5">
        <v>2.3254</v>
      </c>
      <c r="E131" s="5">
        <v>0</v>
      </c>
      <c r="F131" s="5">
        <v>0</v>
      </c>
      <c r="G131" s="5">
        <v>2713.2</v>
      </c>
      <c r="H131" s="5">
        <v>0</v>
      </c>
      <c r="I131" s="5">
        <v>3686.0685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8">
        <f t="shared" si="4"/>
        <v>6401.5939</v>
      </c>
    </row>
    <row r="132" spans="1:18">
      <c r="A132" s="4" t="s">
        <v>24</v>
      </c>
      <c r="B132" s="4" t="s">
        <v>93</v>
      </c>
      <c r="C132" s="4" t="s">
        <v>157</v>
      </c>
      <c r="D132" s="5">
        <v>1.0379</v>
      </c>
      <c r="E132" s="5">
        <v>0</v>
      </c>
      <c r="F132" s="5">
        <v>0</v>
      </c>
      <c r="G132" s="5">
        <v>407.6</v>
      </c>
      <c r="H132" s="5">
        <v>0</v>
      </c>
      <c r="I132" s="5">
        <v>1.1055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8">
        <f t="shared" si="4"/>
        <v>409.7434</v>
      </c>
    </row>
    <row r="133" spans="1:18">
      <c r="A133" s="4" t="s">
        <v>24</v>
      </c>
      <c r="B133" s="4" t="s">
        <v>93</v>
      </c>
      <c r="C133" s="4" t="s">
        <v>158</v>
      </c>
      <c r="D133" s="5">
        <v>1.8553</v>
      </c>
      <c r="E133" s="5">
        <v>0</v>
      </c>
      <c r="F133" s="5">
        <v>0</v>
      </c>
      <c r="G133" s="5">
        <v>1518.8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8">
        <f t="shared" si="4"/>
        <v>1520.6553</v>
      </c>
    </row>
    <row r="134" spans="1:18">
      <c r="A134" s="4" t="s">
        <v>24</v>
      </c>
      <c r="B134" s="4" t="s">
        <v>93</v>
      </c>
      <c r="C134" s="4" t="s">
        <v>159</v>
      </c>
      <c r="D134" s="5">
        <v>2.473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8">
        <f t="shared" ref="R134:R165" si="5">SUM(D134:Q134)</f>
        <v>2.473</v>
      </c>
    </row>
    <row r="135" spans="1:18">
      <c r="A135" s="4" t="s">
        <v>24</v>
      </c>
      <c r="B135" s="4" t="s">
        <v>93</v>
      </c>
      <c r="C135" s="4" t="s">
        <v>160</v>
      </c>
      <c r="D135" s="5">
        <v>1.5841</v>
      </c>
      <c r="E135" s="5">
        <v>0</v>
      </c>
      <c r="F135" s="5">
        <v>0</v>
      </c>
      <c r="G135" s="5">
        <v>1955.2</v>
      </c>
      <c r="H135" s="5">
        <v>0</v>
      </c>
      <c r="I135" s="5">
        <v>292.983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8">
        <f t="shared" si="5"/>
        <v>2249.7671</v>
      </c>
    </row>
    <row r="136" spans="1:18">
      <c r="A136" s="4" t="s">
        <v>24</v>
      </c>
      <c r="B136" s="4" t="s">
        <v>93</v>
      </c>
      <c r="C136" s="4" t="s">
        <v>161</v>
      </c>
      <c r="D136" s="5">
        <v>3.0845</v>
      </c>
      <c r="E136" s="5">
        <v>0</v>
      </c>
      <c r="F136" s="5">
        <v>0</v>
      </c>
      <c r="G136" s="5">
        <v>4104</v>
      </c>
      <c r="H136" s="5">
        <v>0</v>
      </c>
      <c r="I136" s="5">
        <v>29839.08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8">
        <f t="shared" si="5"/>
        <v>33946.1645</v>
      </c>
    </row>
    <row r="137" spans="1:18">
      <c r="A137" s="4" t="s">
        <v>24</v>
      </c>
      <c r="B137" s="4" t="s">
        <v>93</v>
      </c>
      <c r="C137" s="4" t="s">
        <v>162</v>
      </c>
      <c r="D137" s="5">
        <v>1.8644</v>
      </c>
      <c r="E137" s="5">
        <v>0</v>
      </c>
      <c r="F137" s="5">
        <v>0</v>
      </c>
      <c r="G137" s="5">
        <v>1428</v>
      </c>
      <c r="H137" s="5">
        <v>0</v>
      </c>
      <c r="I137" s="5">
        <v>143.727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8">
        <f t="shared" si="5"/>
        <v>1573.5914</v>
      </c>
    </row>
    <row r="138" spans="1:18">
      <c r="A138" s="4" t="s">
        <v>24</v>
      </c>
      <c r="B138" s="4" t="s">
        <v>93</v>
      </c>
      <c r="C138" s="4" t="s">
        <v>163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1029.9015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8">
        <f t="shared" si="5"/>
        <v>1029.9015</v>
      </c>
    </row>
    <row r="139" spans="1:18">
      <c r="A139" s="4" t="s">
        <v>24</v>
      </c>
      <c r="B139" s="4" t="s">
        <v>93</v>
      </c>
      <c r="C139" s="4" t="s">
        <v>164</v>
      </c>
      <c r="D139" s="5">
        <v>0.2239</v>
      </c>
      <c r="E139" s="5">
        <v>0</v>
      </c>
      <c r="F139" s="5">
        <v>0</v>
      </c>
      <c r="G139" s="5">
        <v>0</v>
      </c>
      <c r="H139" s="5">
        <v>0</v>
      </c>
      <c r="I139" s="5">
        <v>1736.5365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8">
        <f t="shared" si="5"/>
        <v>1736.7604</v>
      </c>
    </row>
    <row r="140" spans="1:18">
      <c r="A140" s="4" t="s">
        <v>24</v>
      </c>
      <c r="B140" s="4" t="s">
        <v>93</v>
      </c>
      <c r="C140" s="4" t="s">
        <v>165</v>
      </c>
      <c r="D140" s="5">
        <v>1.9284</v>
      </c>
      <c r="E140" s="5">
        <v>0</v>
      </c>
      <c r="F140" s="5">
        <v>0</v>
      </c>
      <c r="G140" s="5">
        <v>0</v>
      </c>
      <c r="H140" s="5">
        <v>0</v>
      </c>
      <c r="I140" s="5">
        <v>724.956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8">
        <f t="shared" si="5"/>
        <v>726.8844</v>
      </c>
    </row>
    <row r="141" spans="1:18">
      <c r="A141" s="4" t="s">
        <v>24</v>
      </c>
      <c r="B141" s="4" t="s">
        <v>93</v>
      </c>
      <c r="C141" s="4" t="s">
        <v>166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169.323</v>
      </c>
      <c r="J141" s="5">
        <v>21181.375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8">
        <f t="shared" si="5"/>
        <v>21350.698</v>
      </c>
    </row>
    <row r="142" spans="1:18">
      <c r="A142" s="4" t="s">
        <v>24</v>
      </c>
      <c r="B142" s="4" t="s">
        <v>93</v>
      </c>
      <c r="C142" s="4" t="s">
        <v>167</v>
      </c>
      <c r="D142" s="5">
        <v>0.2164</v>
      </c>
      <c r="E142" s="5">
        <v>0</v>
      </c>
      <c r="F142" s="5">
        <v>0</v>
      </c>
      <c r="G142" s="5">
        <v>0</v>
      </c>
      <c r="H142" s="5">
        <v>0</v>
      </c>
      <c r="I142" s="5">
        <v>3.3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8">
        <f t="shared" si="5"/>
        <v>3.5164</v>
      </c>
    </row>
    <row r="143" spans="1:18">
      <c r="A143" s="4" t="s">
        <v>24</v>
      </c>
      <c r="B143" s="4" t="s">
        <v>93</v>
      </c>
      <c r="C143" s="4" t="s">
        <v>168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332.1045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8">
        <f t="shared" si="5"/>
        <v>332.1045</v>
      </c>
    </row>
    <row r="144" spans="1:18">
      <c r="A144" s="4" t="s">
        <v>24</v>
      </c>
      <c r="B144" s="4" t="s">
        <v>93</v>
      </c>
      <c r="C144" s="4" t="s">
        <v>169</v>
      </c>
      <c r="D144" s="5">
        <v>0.0946</v>
      </c>
      <c r="E144" s="5">
        <v>0</v>
      </c>
      <c r="F144" s="5">
        <v>0</v>
      </c>
      <c r="G144" s="5">
        <v>0</v>
      </c>
      <c r="H144" s="5">
        <v>0</v>
      </c>
      <c r="I144" s="5">
        <v>661.1445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8">
        <f t="shared" si="5"/>
        <v>661.2391</v>
      </c>
    </row>
    <row r="145" spans="1:18">
      <c r="A145" s="4" t="s">
        <v>24</v>
      </c>
      <c r="B145" s="4" t="s">
        <v>93</v>
      </c>
      <c r="C145" s="4" t="s">
        <v>170</v>
      </c>
      <c r="D145" s="5">
        <v>2.2025</v>
      </c>
      <c r="E145" s="5">
        <v>0</v>
      </c>
      <c r="F145" s="5">
        <v>0</v>
      </c>
      <c r="G145" s="5">
        <v>3348</v>
      </c>
      <c r="H145" s="5">
        <v>0</v>
      </c>
      <c r="I145" s="5">
        <v>331.071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8">
        <f t="shared" si="5"/>
        <v>3681.2735</v>
      </c>
    </row>
    <row r="146" spans="1:18">
      <c r="A146" s="4" t="s">
        <v>24</v>
      </c>
      <c r="B146" s="4" t="s">
        <v>93</v>
      </c>
      <c r="C146" s="4" t="s">
        <v>171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194880.8475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8">
        <f t="shared" si="5"/>
        <v>194880.8475</v>
      </c>
    </row>
    <row r="147" spans="1:18">
      <c r="A147" s="4" t="s">
        <v>24</v>
      </c>
      <c r="B147" s="4" t="s">
        <v>93</v>
      </c>
      <c r="C147" s="4" t="s">
        <v>172</v>
      </c>
      <c r="D147" s="5">
        <v>4.0608</v>
      </c>
      <c r="E147" s="5">
        <v>0</v>
      </c>
      <c r="F147" s="5">
        <v>0</v>
      </c>
      <c r="G147" s="5">
        <v>5834.4</v>
      </c>
      <c r="H147" s="5">
        <v>0</v>
      </c>
      <c r="I147" s="5">
        <v>3022.791</v>
      </c>
      <c r="J147" s="5">
        <v>22985.95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8">
        <f t="shared" si="5"/>
        <v>31847.2018</v>
      </c>
    </row>
    <row r="148" spans="1:18">
      <c r="A148" s="4" t="s">
        <v>24</v>
      </c>
      <c r="B148" s="4" t="s">
        <v>93</v>
      </c>
      <c r="C148" s="4" t="s">
        <v>173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192.5145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8">
        <f t="shared" si="5"/>
        <v>192.5145</v>
      </c>
    </row>
    <row r="149" spans="1:18">
      <c r="A149" s="4" t="s">
        <v>24</v>
      </c>
      <c r="B149" s="4" t="s">
        <v>93</v>
      </c>
      <c r="C149" s="4" t="s">
        <v>174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4329.0615</v>
      </c>
      <c r="J149" s="5">
        <v>20747.85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8">
        <f t="shared" si="5"/>
        <v>25076.9115</v>
      </c>
    </row>
    <row r="150" spans="1:18">
      <c r="A150" s="4" t="s">
        <v>24</v>
      </c>
      <c r="B150" s="4" t="s">
        <v>93</v>
      </c>
      <c r="C150" s="4" t="s">
        <v>175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359.361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8">
        <f t="shared" si="5"/>
        <v>359.361</v>
      </c>
    </row>
    <row r="151" spans="1:18">
      <c r="A151" s="4" t="s">
        <v>24</v>
      </c>
      <c r="B151" s="4" t="s">
        <v>93</v>
      </c>
      <c r="C151" s="4" t="s">
        <v>176</v>
      </c>
      <c r="D151" s="5">
        <v>1.4084</v>
      </c>
      <c r="E151" s="5">
        <v>0</v>
      </c>
      <c r="F151" s="5">
        <v>0</v>
      </c>
      <c r="G151" s="5">
        <v>1086.4</v>
      </c>
      <c r="H151" s="5">
        <v>0</v>
      </c>
      <c r="I151" s="5">
        <v>606.834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8">
        <f t="shared" si="5"/>
        <v>1694.6424</v>
      </c>
    </row>
    <row r="152" spans="1:18">
      <c r="A152" s="4" t="s">
        <v>24</v>
      </c>
      <c r="B152" s="4" t="s">
        <v>93</v>
      </c>
      <c r="C152" s="4" t="s">
        <v>177</v>
      </c>
      <c r="D152" s="5">
        <v>4.3598</v>
      </c>
      <c r="E152" s="5">
        <v>0</v>
      </c>
      <c r="F152" s="5">
        <v>0</v>
      </c>
      <c r="G152" s="5">
        <v>9104.4</v>
      </c>
      <c r="H152" s="5">
        <v>0</v>
      </c>
      <c r="I152" s="5">
        <v>7997.88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8">
        <f t="shared" si="5"/>
        <v>17106.6398</v>
      </c>
    </row>
    <row r="153" spans="1:18">
      <c r="A153" s="4" t="s">
        <v>24</v>
      </c>
      <c r="B153" s="4" t="s">
        <v>93</v>
      </c>
      <c r="C153" s="4" t="s">
        <v>178</v>
      </c>
      <c r="D153" s="5">
        <v>0.2164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8">
        <f t="shared" si="5"/>
        <v>0.2164</v>
      </c>
    </row>
    <row r="154" spans="1:18">
      <c r="A154" s="4" t="s">
        <v>24</v>
      </c>
      <c r="B154" s="4" t="s">
        <v>179</v>
      </c>
      <c r="C154" s="4" t="s">
        <v>180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159545.31</v>
      </c>
      <c r="J154" s="5">
        <v>82047.5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8">
        <f t="shared" si="5"/>
        <v>241592.81</v>
      </c>
    </row>
    <row r="155" spans="1:18">
      <c r="A155" s="4" t="s">
        <v>24</v>
      </c>
      <c r="B155" s="4" t="s">
        <v>179</v>
      </c>
      <c r="C155" s="4" t="s">
        <v>181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116107.9875</v>
      </c>
      <c r="J155" s="5">
        <v>97465.5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8">
        <f t="shared" si="5"/>
        <v>213573.4875</v>
      </c>
    </row>
    <row r="156" spans="1:18">
      <c r="A156" s="4" t="s">
        <v>24</v>
      </c>
      <c r="B156" s="4" t="s">
        <v>179</v>
      </c>
      <c r="C156" s="4" t="s">
        <v>182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469.0065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8">
        <f t="shared" si="5"/>
        <v>469.0065</v>
      </c>
    </row>
    <row r="157" spans="1:18">
      <c r="A157" s="4" t="s">
        <v>24</v>
      </c>
      <c r="B157" s="4" t="s">
        <v>179</v>
      </c>
      <c r="C157" s="4" t="s">
        <v>183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31.7985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8">
        <f t="shared" si="5"/>
        <v>31.7985</v>
      </c>
    </row>
    <row r="158" spans="1:18">
      <c r="A158" s="4" t="s">
        <v>24</v>
      </c>
      <c r="B158" s="4" t="s">
        <v>179</v>
      </c>
      <c r="C158" s="4" t="s">
        <v>184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56878.6995</v>
      </c>
      <c r="J158" s="5">
        <v>53673.9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8">
        <f t="shared" si="5"/>
        <v>110552.5995</v>
      </c>
    </row>
    <row r="159" spans="1:18">
      <c r="A159" s="4" t="s">
        <v>24</v>
      </c>
      <c r="B159" s="4" t="s">
        <v>179</v>
      </c>
      <c r="C159" s="4" t="s">
        <v>185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411122.9415</v>
      </c>
      <c r="J159" s="5">
        <v>62413.95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8">
        <f t="shared" si="5"/>
        <v>473536.8915</v>
      </c>
    </row>
    <row r="160" spans="1:18">
      <c r="A160" s="4" t="s">
        <v>24</v>
      </c>
      <c r="B160" s="4" t="s">
        <v>179</v>
      </c>
      <c r="C160" s="4" t="s">
        <v>186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231310.8435</v>
      </c>
      <c r="J160" s="5">
        <v>83168.7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8">
        <f t="shared" si="5"/>
        <v>314479.5435</v>
      </c>
    </row>
    <row r="161" spans="1:18">
      <c r="A161" s="4" t="s">
        <v>24</v>
      </c>
      <c r="B161" s="4" t="s">
        <v>179</v>
      </c>
      <c r="C161" s="4" t="s">
        <v>187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68469.5025</v>
      </c>
      <c r="J161" s="5">
        <v>99405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8">
        <f t="shared" si="5"/>
        <v>167874.5025</v>
      </c>
    </row>
    <row r="162" spans="1:18">
      <c r="A162" s="4" t="s">
        <v>24</v>
      </c>
      <c r="B162" s="4" t="s">
        <v>179</v>
      </c>
      <c r="C162" s="4" t="s">
        <v>188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6.4785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8">
        <f t="shared" si="5"/>
        <v>6.4785</v>
      </c>
    </row>
    <row r="163" spans="1:18">
      <c r="A163" s="4" t="s">
        <v>24</v>
      </c>
      <c r="B163" s="4" t="s">
        <v>179</v>
      </c>
      <c r="C163" s="4" t="s">
        <v>189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688168.2135</v>
      </c>
      <c r="J163" s="5">
        <v>236880.0217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8">
        <f t="shared" si="5"/>
        <v>925048.2352</v>
      </c>
    </row>
    <row r="164" spans="1:18">
      <c r="A164" s="4" t="s">
        <v>24</v>
      </c>
      <c r="B164" s="4" t="s">
        <v>179</v>
      </c>
      <c r="C164" s="4" t="s">
        <v>190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69583.281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8">
        <f t="shared" si="5"/>
        <v>69583.281</v>
      </c>
    </row>
    <row r="165" spans="1:18">
      <c r="A165" s="4" t="s">
        <v>24</v>
      </c>
      <c r="B165" s="4" t="s">
        <v>179</v>
      </c>
      <c r="C165" s="4" t="s">
        <v>191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89436.0975</v>
      </c>
      <c r="J165" s="5">
        <v>80441.64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8">
        <f t="shared" si="5"/>
        <v>169877.7375</v>
      </c>
    </row>
    <row r="166" spans="1:18">
      <c r="A166" s="4" t="s">
        <v>24</v>
      </c>
      <c r="B166" s="4" t="s">
        <v>179</v>
      </c>
      <c r="C166" s="4" t="s">
        <v>192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135154.848</v>
      </c>
      <c r="J166" s="5">
        <v>110977.2937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8">
        <f t="shared" ref="R166:R203" si="6">SUM(D166:Q166)</f>
        <v>246132.1417</v>
      </c>
    </row>
    <row r="167" spans="1:18">
      <c r="A167" s="4" t="s">
        <v>24</v>
      </c>
      <c r="B167" s="4" t="s">
        <v>179</v>
      </c>
      <c r="C167" s="4" t="s">
        <v>193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105791.7195</v>
      </c>
      <c r="J167" s="5">
        <v>89610.32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8">
        <f t="shared" si="6"/>
        <v>195402.0395</v>
      </c>
    </row>
    <row r="168" spans="1:18">
      <c r="A168" s="4" t="s">
        <v>24</v>
      </c>
      <c r="B168" s="4" t="s">
        <v>179</v>
      </c>
      <c r="C168" s="4" t="s">
        <v>194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963.591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8">
        <f t="shared" si="6"/>
        <v>963.591</v>
      </c>
    </row>
    <row r="169" spans="1:18">
      <c r="A169" s="4" t="s">
        <v>24</v>
      </c>
      <c r="B169" s="4" t="s">
        <v>179</v>
      </c>
      <c r="C169" s="4" t="s">
        <v>195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69717.2505</v>
      </c>
      <c r="J169" s="5">
        <v>216114.636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8">
        <f t="shared" si="6"/>
        <v>285831.8865</v>
      </c>
    </row>
    <row r="170" spans="1:18">
      <c r="A170" s="4" t="s">
        <v>24</v>
      </c>
      <c r="B170" s="4" t="s">
        <v>179</v>
      </c>
      <c r="C170" s="4" t="s">
        <v>196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77844.3915</v>
      </c>
      <c r="J170" s="5">
        <v>100407.78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8">
        <f t="shared" si="6"/>
        <v>178252.1715</v>
      </c>
    </row>
    <row r="171" spans="1:18">
      <c r="A171" s="4" t="s">
        <v>24</v>
      </c>
      <c r="B171" s="4" t="s">
        <v>179</v>
      </c>
      <c r="C171" s="4" t="s">
        <v>197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349608.1605</v>
      </c>
      <c r="J171" s="5">
        <v>129954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8">
        <f t="shared" si="6"/>
        <v>479562.1605</v>
      </c>
    </row>
    <row r="172" spans="1:18">
      <c r="A172" s="4" t="s">
        <v>24</v>
      </c>
      <c r="B172" s="4" t="s">
        <v>179</v>
      </c>
      <c r="C172" s="4" t="s">
        <v>198</v>
      </c>
      <c r="D172" s="5">
        <v>0</v>
      </c>
      <c r="E172" s="5">
        <v>7974.288</v>
      </c>
      <c r="F172" s="5">
        <v>0</v>
      </c>
      <c r="G172" s="5">
        <v>0</v>
      </c>
      <c r="H172" s="5">
        <v>0</v>
      </c>
      <c r="I172" s="5">
        <v>25679.283</v>
      </c>
      <c r="J172" s="5">
        <v>25525.485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8">
        <f t="shared" si="6"/>
        <v>59179.056</v>
      </c>
    </row>
    <row r="173" spans="1:18">
      <c r="A173" s="4" t="s">
        <v>24</v>
      </c>
      <c r="B173" s="4" t="s">
        <v>199</v>
      </c>
      <c r="C173" s="4" t="s">
        <v>200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1178.283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80000</v>
      </c>
      <c r="R173" s="8">
        <f t="shared" si="6"/>
        <v>81178.283</v>
      </c>
    </row>
    <row r="174" spans="1:18">
      <c r="A174" s="4" t="s">
        <v>24</v>
      </c>
      <c r="B174" s="4" t="s">
        <v>201</v>
      </c>
      <c r="C174" s="4" t="s">
        <v>202</v>
      </c>
      <c r="D174" s="5">
        <v>0</v>
      </c>
      <c r="E174" s="5">
        <v>535291.6294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8">
        <f t="shared" si="6"/>
        <v>535291.6294</v>
      </c>
    </row>
    <row r="175" spans="1:18">
      <c r="A175" s="4" t="s">
        <v>24</v>
      </c>
      <c r="B175" s="4" t="s">
        <v>201</v>
      </c>
      <c r="C175" s="4" t="s">
        <v>203</v>
      </c>
      <c r="D175" s="5">
        <v>0</v>
      </c>
      <c r="E175" s="5">
        <v>2232072.6093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8">
        <f t="shared" si="6"/>
        <v>2232072.6093</v>
      </c>
    </row>
    <row r="176" spans="1:18">
      <c r="A176" s="4" t="s">
        <v>24</v>
      </c>
      <c r="B176" s="4" t="s">
        <v>204</v>
      </c>
      <c r="C176" s="4" t="s">
        <v>205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229.668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8">
        <f t="shared" si="6"/>
        <v>229.668</v>
      </c>
    </row>
    <row r="177" spans="1:18">
      <c r="A177" s="4" t="s">
        <v>24</v>
      </c>
      <c r="B177" s="4" t="s">
        <v>204</v>
      </c>
      <c r="C177" s="4" t="s">
        <v>206</v>
      </c>
      <c r="D177" s="5">
        <v>0.3515</v>
      </c>
      <c r="E177" s="5">
        <v>60107.0038</v>
      </c>
      <c r="F177" s="5">
        <v>0</v>
      </c>
      <c r="G177" s="5">
        <v>0</v>
      </c>
      <c r="H177" s="5">
        <v>0</v>
      </c>
      <c r="I177" s="5">
        <v>10.7955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8">
        <f t="shared" si="6"/>
        <v>60118.1508</v>
      </c>
    </row>
    <row r="178" spans="1:18">
      <c r="A178" s="4" t="s">
        <v>24</v>
      </c>
      <c r="B178" s="4" t="s">
        <v>204</v>
      </c>
      <c r="C178" s="4" t="s">
        <v>207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8">
        <f t="shared" si="6"/>
        <v>0</v>
      </c>
    </row>
    <row r="179" spans="1:18">
      <c r="A179" s="4" t="s">
        <v>24</v>
      </c>
      <c r="B179" s="4" t="s">
        <v>204</v>
      </c>
      <c r="C179" s="4" t="s">
        <v>208</v>
      </c>
      <c r="D179" s="5">
        <v>0.6246</v>
      </c>
      <c r="E179" s="5">
        <v>0</v>
      </c>
      <c r="F179" s="5">
        <v>0</v>
      </c>
      <c r="G179" s="5">
        <v>0</v>
      </c>
      <c r="H179" s="5">
        <v>0</v>
      </c>
      <c r="I179" s="5">
        <v>3.1905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8">
        <f t="shared" si="6"/>
        <v>3.8151</v>
      </c>
    </row>
    <row r="180" spans="1:18">
      <c r="A180" s="4" t="s">
        <v>24</v>
      </c>
      <c r="B180" s="4" t="s">
        <v>204</v>
      </c>
      <c r="C180" s="4" t="s">
        <v>209</v>
      </c>
      <c r="D180" s="5">
        <v>3.4208</v>
      </c>
      <c r="E180" s="5">
        <v>0</v>
      </c>
      <c r="F180" s="5">
        <v>0</v>
      </c>
      <c r="G180" s="5">
        <v>1631.2</v>
      </c>
      <c r="H180" s="5">
        <v>0</v>
      </c>
      <c r="I180" s="5">
        <v>77.058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8">
        <f t="shared" si="6"/>
        <v>1711.6788</v>
      </c>
    </row>
    <row r="181" spans="1:18">
      <c r="A181" s="4" t="s">
        <v>24</v>
      </c>
      <c r="B181" s="4" t="s">
        <v>204</v>
      </c>
      <c r="C181" s="4" t="s">
        <v>210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0.3885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8">
        <f t="shared" si="6"/>
        <v>0.3885</v>
      </c>
    </row>
    <row r="182" spans="1:18">
      <c r="A182" s="4" t="s">
        <v>24</v>
      </c>
      <c r="B182" s="4" t="s">
        <v>204</v>
      </c>
      <c r="C182" s="4" t="s">
        <v>211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74.2995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8">
        <f t="shared" si="6"/>
        <v>74.2995</v>
      </c>
    </row>
    <row r="183" spans="1:18">
      <c r="A183" s="4" t="s">
        <v>24</v>
      </c>
      <c r="B183" s="4" t="s">
        <v>204</v>
      </c>
      <c r="C183" s="4" t="s">
        <v>212</v>
      </c>
      <c r="D183" s="5">
        <v>0.6781</v>
      </c>
      <c r="E183" s="5">
        <v>0</v>
      </c>
      <c r="F183" s="5">
        <v>0</v>
      </c>
      <c r="G183" s="5">
        <v>0</v>
      </c>
      <c r="H183" s="5">
        <v>0</v>
      </c>
      <c r="I183" s="5">
        <v>9.342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8">
        <f t="shared" si="6"/>
        <v>10.0201</v>
      </c>
    </row>
    <row r="184" spans="1:18">
      <c r="A184" s="4" t="s">
        <v>24</v>
      </c>
      <c r="B184" s="4" t="s">
        <v>204</v>
      </c>
      <c r="C184" s="4" t="s">
        <v>213</v>
      </c>
      <c r="D184" s="5">
        <v>1.9717</v>
      </c>
      <c r="E184" s="5">
        <v>0</v>
      </c>
      <c r="F184" s="5">
        <v>0</v>
      </c>
      <c r="G184" s="5">
        <v>0</v>
      </c>
      <c r="H184" s="5">
        <v>0</v>
      </c>
      <c r="I184" s="5">
        <v>9.567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8">
        <f t="shared" si="6"/>
        <v>11.5387</v>
      </c>
    </row>
    <row r="185" spans="1:18">
      <c r="A185" s="4" t="s">
        <v>24</v>
      </c>
      <c r="B185" s="4" t="s">
        <v>204</v>
      </c>
      <c r="C185" s="4" t="s">
        <v>214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8">
        <f t="shared" si="6"/>
        <v>0</v>
      </c>
    </row>
    <row r="186" spans="1:18">
      <c r="A186" s="4" t="s">
        <v>24</v>
      </c>
      <c r="B186" s="4" t="s">
        <v>204</v>
      </c>
      <c r="C186" s="4" t="s">
        <v>215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0.555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8">
        <f t="shared" si="6"/>
        <v>0.555</v>
      </c>
    </row>
    <row r="187" spans="1:18">
      <c r="A187" s="4" t="s">
        <v>24</v>
      </c>
      <c r="B187" s="4" t="s">
        <v>204</v>
      </c>
      <c r="C187" s="4" t="s">
        <v>216</v>
      </c>
      <c r="D187" s="5">
        <v>5.5289</v>
      </c>
      <c r="E187" s="5">
        <v>0</v>
      </c>
      <c r="F187" s="5">
        <v>0</v>
      </c>
      <c r="G187" s="5">
        <v>7718.4</v>
      </c>
      <c r="H187" s="5">
        <v>0</v>
      </c>
      <c r="I187" s="5">
        <v>0.0615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8">
        <f t="shared" si="6"/>
        <v>7723.9904</v>
      </c>
    </row>
    <row r="188" spans="1:18">
      <c r="A188" s="4" t="s">
        <v>24</v>
      </c>
      <c r="B188" s="4" t="s">
        <v>204</v>
      </c>
      <c r="C188" s="4" t="s">
        <v>217</v>
      </c>
      <c r="D188" s="5">
        <v>1.0278</v>
      </c>
      <c r="E188" s="5">
        <v>0</v>
      </c>
      <c r="F188" s="5">
        <v>0</v>
      </c>
      <c r="G188" s="5">
        <v>0</v>
      </c>
      <c r="H188" s="5">
        <v>0</v>
      </c>
      <c r="I188" s="5">
        <v>67.773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8">
        <f t="shared" si="6"/>
        <v>68.8008</v>
      </c>
    </row>
    <row r="189" spans="1:18">
      <c r="A189" s="4" t="s">
        <v>24</v>
      </c>
      <c r="B189" s="4" t="s">
        <v>204</v>
      </c>
      <c r="C189" s="4" t="s">
        <v>218</v>
      </c>
      <c r="D189" s="5">
        <v>12.3936</v>
      </c>
      <c r="E189" s="5">
        <v>0</v>
      </c>
      <c r="F189" s="5">
        <v>0</v>
      </c>
      <c r="G189" s="5">
        <v>15990.4</v>
      </c>
      <c r="H189" s="5">
        <v>0</v>
      </c>
      <c r="I189" s="5">
        <v>5.877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8">
        <f t="shared" si="6"/>
        <v>16008.6706</v>
      </c>
    </row>
    <row r="190" spans="1:18">
      <c r="A190" s="4" t="s">
        <v>24</v>
      </c>
      <c r="B190" s="4" t="s">
        <v>204</v>
      </c>
      <c r="C190" s="4" t="s">
        <v>219</v>
      </c>
      <c r="D190" s="5">
        <v>18.3233</v>
      </c>
      <c r="E190" s="5">
        <v>0</v>
      </c>
      <c r="F190" s="5">
        <v>0</v>
      </c>
      <c r="G190" s="5">
        <v>16261.6</v>
      </c>
      <c r="H190" s="5">
        <v>0</v>
      </c>
      <c r="I190" s="5">
        <v>282.042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8">
        <f t="shared" si="6"/>
        <v>16561.9653</v>
      </c>
    </row>
    <row r="191" spans="1:18">
      <c r="A191" s="4" t="s">
        <v>24</v>
      </c>
      <c r="B191" s="4" t="s">
        <v>204</v>
      </c>
      <c r="C191" s="4" t="s">
        <v>220</v>
      </c>
      <c r="D191" s="5">
        <v>2.4278</v>
      </c>
      <c r="E191" s="5">
        <v>0</v>
      </c>
      <c r="F191" s="5">
        <v>0</v>
      </c>
      <c r="G191" s="5">
        <v>2239.6</v>
      </c>
      <c r="H191" s="5">
        <v>0</v>
      </c>
      <c r="I191" s="5">
        <v>0.4275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8">
        <f t="shared" si="6"/>
        <v>2242.4553</v>
      </c>
    </row>
    <row r="192" spans="1:18">
      <c r="A192" s="4" t="s">
        <v>24</v>
      </c>
      <c r="B192" s="4" t="s">
        <v>204</v>
      </c>
      <c r="C192" s="4" t="s">
        <v>221</v>
      </c>
      <c r="D192" s="5">
        <v>2.1055</v>
      </c>
      <c r="E192" s="5">
        <v>0</v>
      </c>
      <c r="F192" s="5">
        <v>0</v>
      </c>
      <c r="G192" s="5">
        <v>831.6</v>
      </c>
      <c r="H192" s="5">
        <v>0</v>
      </c>
      <c r="I192" s="5">
        <v>9.5355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8">
        <f t="shared" si="6"/>
        <v>843.241</v>
      </c>
    </row>
    <row r="193" spans="1:18">
      <c r="A193" s="4" t="s">
        <v>24</v>
      </c>
      <c r="B193" s="4" t="s">
        <v>204</v>
      </c>
      <c r="C193" s="4" t="s">
        <v>222</v>
      </c>
      <c r="D193" s="5">
        <v>0.103</v>
      </c>
      <c r="E193" s="5">
        <v>0</v>
      </c>
      <c r="F193" s="5">
        <v>0</v>
      </c>
      <c r="G193" s="5">
        <v>0</v>
      </c>
      <c r="H193" s="5">
        <v>0</v>
      </c>
      <c r="I193" s="5">
        <v>114.2925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8">
        <f t="shared" si="6"/>
        <v>114.3955</v>
      </c>
    </row>
    <row r="194" spans="1:18">
      <c r="A194" s="4" t="s">
        <v>24</v>
      </c>
      <c r="B194" s="4" t="s">
        <v>204</v>
      </c>
      <c r="C194" s="4" t="s">
        <v>223</v>
      </c>
      <c r="D194" s="5">
        <v>2.987</v>
      </c>
      <c r="E194" s="5">
        <v>0</v>
      </c>
      <c r="F194" s="5">
        <v>0</v>
      </c>
      <c r="G194" s="5">
        <v>2100.4</v>
      </c>
      <c r="H194" s="5">
        <v>0</v>
      </c>
      <c r="I194" s="5">
        <v>129.0105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8">
        <f t="shared" si="6"/>
        <v>2232.3975</v>
      </c>
    </row>
    <row r="195" spans="1:18">
      <c r="A195" s="4" t="s">
        <v>24</v>
      </c>
      <c r="B195" s="4" t="s">
        <v>204</v>
      </c>
      <c r="C195" s="4" t="s">
        <v>224</v>
      </c>
      <c r="D195" s="5">
        <v>0.9545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8">
        <f t="shared" si="6"/>
        <v>0.9545</v>
      </c>
    </row>
    <row r="196" spans="1:18">
      <c r="A196" s="4" t="s">
        <v>24</v>
      </c>
      <c r="B196" s="4" t="s">
        <v>204</v>
      </c>
      <c r="C196" s="4" t="s">
        <v>225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2.055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8">
        <f t="shared" si="6"/>
        <v>2.055</v>
      </c>
    </row>
    <row r="197" spans="1:18">
      <c r="A197" s="4" t="s">
        <v>24</v>
      </c>
      <c r="B197" s="4" t="s">
        <v>204</v>
      </c>
      <c r="C197" s="4" t="s">
        <v>226</v>
      </c>
      <c r="D197" s="5">
        <v>4.1557</v>
      </c>
      <c r="E197" s="5">
        <v>0</v>
      </c>
      <c r="F197" s="5">
        <v>0</v>
      </c>
      <c r="G197" s="5">
        <v>0</v>
      </c>
      <c r="H197" s="5">
        <v>0</v>
      </c>
      <c r="I197" s="5">
        <v>10.9065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8">
        <f t="shared" si="6"/>
        <v>15.0622</v>
      </c>
    </row>
    <row r="198" spans="1:18">
      <c r="A198" s="4" t="s">
        <v>24</v>
      </c>
      <c r="B198" s="4" t="s">
        <v>204</v>
      </c>
      <c r="C198" s="4" t="s">
        <v>227</v>
      </c>
      <c r="D198" s="5">
        <v>0.3895</v>
      </c>
      <c r="E198" s="5">
        <v>0</v>
      </c>
      <c r="F198" s="5">
        <v>0</v>
      </c>
      <c r="G198" s="5">
        <v>0</v>
      </c>
      <c r="H198" s="5">
        <v>0</v>
      </c>
      <c r="I198" s="5">
        <v>7427.5005</v>
      </c>
      <c r="J198" s="5">
        <v>3882.75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8">
        <f t="shared" si="6"/>
        <v>11310.64</v>
      </c>
    </row>
    <row r="199" spans="1:18">
      <c r="A199" s="4" t="s">
        <v>24</v>
      </c>
      <c r="B199" s="4" t="s">
        <v>204</v>
      </c>
      <c r="C199" s="4" t="s">
        <v>228</v>
      </c>
      <c r="D199" s="5">
        <v>0.598</v>
      </c>
      <c r="E199" s="5">
        <v>0</v>
      </c>
      <c r="F199" s="5">
        <v>0</v>
      </c>
      <c r="G199" s="5">
        <v>0</v>
      </c>
      <c r="H199" s="5">
        <v>0</v>
      </c>
      <c r="I199" s="5">
        <v>2.5995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8">
        <f t="shared" si="6"/>
        <v>3.1975</v>
      </c>
    </row>
    <row r="200" spans="1:18">
      <c r="A200" s="4" t="s">
        <v>24</v>
      </c>
      <c r="B200" s="4" t="s">
        <v>204</v>
      </c>
      <c r="C200" s="4" t="s">
        <v>229</v>
      </c>
      <c r="D200" s="5">
        <v>35.4589</v>
      </c>
      <c r="E200" s="5">
        <v>0</v>
      </c>
      <c r="F200" s="5">
        <v>0</v>
      </c>
      <c r="G200" s="5">
        <v>38600</v>
      </c>
      <c r="H200" s="5">
        <v>0</v>
      </c>
      <c r="I200" s="5">
        <v>275.0055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8">
        <f t="shared" si="6"/>
        <v>38910.4644</v>
      </c>
    </row>
    <row r="201" spans="1:18">
      <c r="A201" s="4" t="s">
        <v>24</v>
      </c>
      <c r="B201" s="4" t="s">
        <v>204</v>
      </c>
      <c r="C201" s="4" t="s">
        <v>230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8">
        <f t="shared" si="6"/>
        <v>0</v>
      </c>
    </row>
    <row r="202" spans="1:18">
      <c r="A202" s="4" t="s">
        <v>24</v>
      </c>
      <c r="B202" s="4" t="s">
        <v>204</v>
      </c>
      <c r="C202" s="4" t="s">
        <v>231</v>
      </c>
      <c r="D202" s="5">
        <v>3.5816</v>
      </c>
      <c r="E202" s="5">
        <v>0</v>
      </c>
      <c r="F202" s="5">
        <v>0</v>
      </c>
      <c r="G202" s="5">
        <v>2482.4</v>
      </c>
      <c r="H202" s="5">
        <v>0</v>
      </c>
      <c r="I202" s="5">
        <v>20.274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8">
        <f t="shared" si="6"/>
        <v>2506.2556</v>
      </c>
    </row>
    <row r="203" spans="1:18">
      <c r="A203" s="4" t="s">
        <v>24</v>
      </c>
      <c r="B203" s="4" t="s">
        <v>204</v>
      </c>
      <c r="C203" s="4" t="s">
        <v>232</v>
      </c>
      <c r="D203" s="5">
        <v>4.1712</v>
      </c>
      <c r="E203" s="5">
        <v>0</v>
      </c>
      <c r="F203" s="5">
        <v>0</v>
      </c>
      <c r="G203" s="5">
        <v>805.6</v>
      </c>
      <c r="H203" s="5">
        <v>0</v>
      </c>
      <c r="I203" s="5">
        <v>138.459</v>
      </c>
      <c r="J203" s="5">
        <v>10087.5456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8">
        <f t="shared" si="6"/>
        <v>11035.7758</v>
      </c>
    </row>
  </sheetData>
  <mergeCells count="1">
    <mergeCell ref="A1:Q1"/>
  </mergeCells>
  <pageMargins left="0.7" right="0.7" top="0.75" bottom="0.75" header="0.3" footer="0.3"/>
  <pageSetup paperSize="9" scale="24" orientation="portrait"/>
  <headerFooter/>
  <ignoredErrors>
    <ignoredError sqref="H3 C2 I2 I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hesheng164</cp:lastModifiedBy>
  <dcterms:created xsi:type="dcterms:W3CDTF">2022-09-28T06:10:00Z</dcterms:created>
  <dcterms:modified xsi:type="dcterms:W3CDTF">2026-09-30T10:08:22Z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2052-11.8.2.12089</vt:lpwstr>
  </property>
</Properties>
</file>