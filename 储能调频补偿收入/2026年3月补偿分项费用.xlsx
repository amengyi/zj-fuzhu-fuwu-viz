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080" windowHeight="13065"/>
  </bookViews>
  <sheets>
    <sheet name="工作表" sheetId="1" r:id="rId1"/>
  </sheets>
  <calcPr calcId="144525"/>
</workbook>
</file>

<file path=xl/sharedStrings.xml><?xml version="1.0" encoding="utf-8"?>
<sst xmlns="http://schemas.openxmlformats.org/spreadsheetml/2006/main" count="229">
  <si>
    <t>2026年3月补偿分项费用</t>
  </si>
  <si>
    <t>有偿一次调频补偿</t>
  </si>
  <si>
    <t>自动发电控制补偿</t>
  </si>
  <si>
    <t>自动功率控制补偿</t>
  </si>
  <si>
    <t>低频调节补偿</t>
  </si>
  <si>
    <t>有偿调峰补偿</t>
  </si>
  <si>
    <t>有偿无功补偿</t>
  </si>
  <si>
    <t>自动电压控制补偿</t>
  </si>
  <si>
    <t>备用补偿</t>
  </si>
  <si>
    <t>有偿转动惯量补偿</t>
  </si>
  <si>
    <t>爬坡补偿</t>
  </si>
  <si>
    <t>稳定切机补偿</t>
  </si>
  <si>
    <t>稳定切负荷补偿</t>
  </si>
  <si>
    <t>快速甩负荷FCB补偿</t>
  </si>
  <si>
    <t>黑启动补偿</t>
  </si>
  <si>
    <t>补偿费用</t>
  </si>
  <si>
    <t>调度</t>
  </si>
  <si>
    <t>类型</t>
  </si>
  <si>
    <t>并网主体</t>
  </si>
  <si>
    <t>补偿费用（元）</t>
  </si>
  <si>
    <t>补偿费用(元)</t>
  </si>
  <si>
    <t>合计（元）</t>
  </si>
  <si>
    <t/>
  </si>
  <si>
    <t>本月汇总</t>
  </si>
  <si>
    <t>浙江省调</t>
  </si>
  <si>
    <t>火电</t>
  </si>
  <si>
    <t>北二厂</t>
  </si>
  <si>
    <t>北仑厂</t>
  </si>
  <si>
    <t>北三厂</t>
  </si>
  <si>
    <t>北四厂</t>
  </si>
  <si>
    <t>苍二厂</t>
  </si>
  <si>
    <t>苍南厂</t>
  </si>
  <si>
    <t>曹娥江</t>
  </si>
  <si>
    <t>长二厂</t>
  </si>
  <si>
    <t>长兴厂</t>
  </si>
  <si>
    <t>大崧厂</t>
  </si>
  <si>
    <t>嘉二厂</t>
  </si>
  <si>
    <t>嘉兴厂</t>
  </si>
  <si>
    <t>巨化厂</t>
  </si>
  <si>
    <t>兰溪厂</t>
  </si>
  <si>
    <t>朗熹电厂</t>
  </si>
  <si>
    <t>朗熹发电厂</t>
  </si>
  <si>
    <t>乐清厂</t>
  </si>
  <si>
    <t>六横厂</t>
  </si>
  <si>
    <t>牛山厂</t>
  </si>
  <si>
    <t>强蛟厂</t>
  </si>
  <si>
    <t>胜龙厂</t>
  </si>
  <si>
    <t>台塑厂</t>
  </si>
  <si>
    <t>台州厂</t>
  </si>
  <si>
    <t>温二厂</t>
  </si>
  <si>
    <t>温州厂</t>
  </si>
  <si>
    <t>温州三厂</t>
  </si>
  <si>
    <t>乌沙山</t>
  </si>
  <si>
    <t>玉环厂</t>
  </si>
  <si>
    <t>招宝山</t>
  </si>
  <si>
    <t>水电</t>
  </si>
  <si>
    <t>丰源厂</t>
  </si>
  <si>
    <t>黄坛口</t>
  </si>
  <si>
    <t>三溪口</t>
  </si>
  <si>
    <t>珊溪厂</t>
  </si>
  <si>
    <t>石水厂</t>
  </si>
  <si>
    <t>滩坑厂</t>
  </si>
  <si>
    <t>乌水厂</t>
  </si>
  <si>
    <t>小溪厂</t>
  </si>
  <si>
    <t>抽蓄</t>
  </si>
  <si>
    <t>宁蓄厂</t>
  </si>
  <si>
    <t>核电</t>
  </si>
  <si>
    <t>秦山厂</t>
  </si>
  <si>
    <t>三门厂</t>
  </si>
  <si>
    <t>燃机</t>
  </si>
  <si>
    <t>半燃厂</t>
  </si>
  <si>
    <t>常山厂</t>
  </si>
  <si>
    <t>长燃厂</t>
  </si>
  <si>
    <t>德能厂</t>
  </si>
  <si>
    <t>华舜厂</t>
  </si>
  <si>
    <t>吉能厂</t>
  </si>
  <si>
    <t>江东厂</t>
  </si>
  <si>
    <t>金二厂</t>
  </si>
  <si>
    <t>金燃厂</t>
  </si>
  <si>
    <t>柯城厂</t>
  </si>
  <si>
    <t>蓝天厂</t>
  </si>
  <si>
    <t>龙湾厂</t>
  </si>
  <si>
    <t>龙游厂</t>
  </si>
  <si>
    <t>梅溪燃机</t>
  </si>
  <si>
    <t>唐绍厂</t>
  </si>
  <si>
    <t>桐燃厂</t>
  </si>
  <si>
    <t>下沙厂</t>
  </si>
  <si>
    <t>萧燃厂</t>
  </si>
  <si>
    <t>新城厂</t>
  </si>
  <si>
    <t>新泓口</t>
  </si>
  <si>
    <t>浔宝厂</t>
  </si>
  <si>
    <t>婺城燃机</t>
  </si>
  <si>
    <t>220kV镇海发电厂</t>
  </si>
  <si>
    <t>光伏</t>
  </si>
  <si>
    <t>安南光伏站</t>
  </si>
  <si>
    <t>白渔站</t>
  </si>
  <si>
    <t>百益站</t>
  </si>
  <si>
    <t>草荡站</t>
  </si>
  <si>
    <t>潮汐站</t>
  </si>
  <si>
    <t>大呈站</t>
  </si>
  <si>
    <t>大涂站</t>
  </si>
  <si>
    <t>大柘站</t>
  </si>
  <si>
    <t>道太站</t>
  </si>
  <si>
    <t>登步站</t>
  </si>
  <si>
    <t>汾口站</t>
  </si>
  <si>
    <t>风凌站</t>
  </si>
  <si>
    <t>广洋站</t>
  </si>
  <si>
    <t>海韵站</t>
  </si>
  <si>
    <t>合村光伏站</t>
  </si>
  <si>
    <t>亨泰站</t>
  </si>
  <si>
    <t>宏塔站</t>
  </si>
  <si>
    <t>华博站</t>
  </si>
  <si>
    <t>华芳光伏站</t>
  </si>
  <si>
    <t>华塘站</t>
  </si>
  <si>
    <t>华洋光伏站</t>
  </si>
  <si>
    <t>汇核站</t>
  </si>
  <si>
    <t>汇能站</t>
  </si>
  <si>
    <t>嘉厂站</t>
  </si>
  <si>
    <t>嘉达光伏站</t>
  </si>
  <si>
    <t>佳源站</t>
  </si>
  <si>
    <t>江泰站</t>
  </si>
  <si>
    <t>晶都光伏站</t>
  </si>
  <si>
    <t>晶科站</t>
  </si>
  <si>
    <t>柯泰站</t>
  </si>
  <si>
    <t>兰晶站</t>
  </si>
  <si>
    <t>乐厂站</t>
  </si>
  <si>
    <t>乐泰站</t>
  </si>
  <si>
    <t>里墅站</t>
  </si>
  <si>
    <t>莲花站</t>
  </si>
  <si>
    <t>莲塘站</t>
  </si>
  <si>
    <t>莲岙站</t>
  </si>
  <si>
    <t>凌光站</t>
  </si>
  <si>
    <t>六厂站</t>
  </si>
  <si>
    <t>龙河站</t>
  </si>
  <si>
    <t>龙翔站</t>
  </si>
  <si>
    <t>吕岗站</t>
  </si>
  <si>
    <t>绿能站</t>
  </si>
  <si>
    <t>宁厂站</t>
  </si>
  <si>
    <t>磐新站</t>
  </si>
  <si>
    <t>钱凌光伏站</t>
  </si>
  <si>
    <t>青源站</t>
  </si>
  <si>
    <t>清港站</t>
  </si>
  <si>
    <t>秋塘站</t>
  </si>
  <si>
    <t>日升站</t>
  </si>
  <si>
    <t>融源站</t>
  </si>
  <si>
    <t>盛林站</t>
  </si>
  <si>
    <t>舒能站</t>
  </si>
  <si>
    <t>舒奇站</t>
  </si>
  <si>
    <t>舒泰站</t>
  </si>
  <si>
    <t>泰瀚站</t>
  </si>
  <si>
    <t>碳银光伏站</t>
  </si>
  <si>
    <t>唐景站</t>
  </si>
  <si>
    <t>唐屿站</t>
  </si>
  <si>
    <t>唐源站</t>
  </si>
  <si>
    <t>唐云光伏</t>
  </si>
  <si>
    <t>唐鳌站</t>
  </si>
  <si>
    <t>桃溪站</t>
  </si>
  <si>
    <t>万市站</t>
  </si>
  <si>
    <t>万投站</t>
  </si>
  <si>
    <t>乌厂站</t>
  </si>
  <si>
    <t>武川站</t>
  </si>
  <si>
    <t>溪仑站</t>
  </si>
  <si>
    <t>夏湖站</t>
  </si>
  <si>
    <t>仙丰站</t>
  </si>
  <si>
    <t>祥晖站</t>
  </si>
  <si>
    <t>向阳站</t>
  </si>
  <si>
    <t>协能站</t>
  </si>
  <si>
    <t>欣埠站</t>
  </si>
  <si>
    <t>雅田站</t>
  </si>
  <si>
    <t>益凌站</t>
  </si>
  <si>
    <t>源凌站</t>
  </si>
  <si>
    <t>正能站</t>
  </si>
  <si>
    <t>中节站</t>
  </si>
  <si>
    <t>岚能站</t>
  </si>
  <si>
    <t>岱涂站</t>
  </si>
  <si>
    <t>梓勋光伏站</t>
  </si>
  <si>
    <t>瓯泰站</t>
  </si>
  <si>
    <t>蛟禾站</t>
  </si>
  <si>
    <t>风电</t>
  </si>
  <si>
    <t>百花场</t>
  </si>
  <si>
    <t>苍海场</t>
  </si>
  <si>
    <t>大衢风电</t>
  </si>
  <si>
    <t>鼎峰场</t>
  </si>
  <si>
    <t>福海风电</t>
  </si>
  <si>
    <t>干江场</t>
  </si>
  <si>
    <t>海州场</t>
  </si>
  <si>
    <t>禾海场</t>
  </si>
  <si>
    <t>红山场</t>
  </si>
  <si>
    <t>嘉海场</t>
  </si>
  <si>
    <t>龙母场</t>
  </si>
  <si>
    <t>普陀场</t>
  </si>
  <si>
    <t>润海场</t>
  </si>
  <si>
    <t>涂海场</t>
  </si>
  <si>
    <t>维新场</t>
  </si>
  <si>
    <t>象海场</t>
  </si>
  <si>
    <t>鱼海场</t>
  </si>
  <si>
    <t>玉海场</t>
  </si>
  <si>
    <t>岱山场</t>
  </si>
  <si>
    <t>储能</t>
  </si>
  <si>
    <t>长电储能</t>
  </si>
  <si>
    <t>大有储能</t>
  </si>
  <si>
    <t>定海储能</t>
  </si>
  <si>
    <t>丰门储能</t>
  </si>
  <si>
    <t>郭溪储能</t>
  </si>
  <si>
    <t>国宏储能</t>
  </si>
  <si>
    <t>杭临储能</t>
  </si>
  <si>
    <t>恒新储能</t>
  </si>
  <si>
    <t>江电储能</t>
  </si>
  <si>
    <t>交安储能</t>
  </si>
  <si>
    <t>晶网储能</t>
  </si>
  <si>
    <t>京能储能</t>
  </si>
  <si>
    <t>柯林储能</t>
  </si>
  <si>
    <t>蓝电储能</t>
  </si>
  <si>
    <t>利星储能</t>
  </si>
  <si>
    <t>绿建储能</t>
  </si>
  <si>
    <t>启泰储能</t>
  </si>
  <si>
    <t>泉电储能</t>
  </si>
  <si>
    <t>日昇储能</t>
  </si>
  <si>
    <t>顺发储能</t>
  </si>
  <si>
    <t>万义储能</t>
  </si>
  <si>
    <t>萧电储能</t>
  </si>
  <si>
    <t>萧开储能</t>
  </si>
  <si>
    <t>欣元储能</t>
  </si>
  <si>
    <t>新亭储能</t>
  </si>
  <si>
    <t>星兰储能</t>
  </si>
  <si>
    <t>剡中储能</t>
  </si>
  <si>
    <t>虚拟电厂</t>
  </si>
  <si>
    <t>华能浙江能源聚合中心</t>
  </si>
  <si>
    <t>浙能虚拟能源聚合中心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</si>
</sst>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1" fillId="0" borderId="0" applyFon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4" fillId="22" borderId="6" applyNumberFormat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1" borderId="7" applyNumberFormat="0" applyFont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3" fillId="0" borderId="9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9" fillId="15" borderId="10" applyNumberFormat="0" applyAlignment="0" applyProtection="0">
      <alignment vertical="center"/>
    </xf>
    <xf numFmtId="0" fontId="11" fillId="15" borderId="6" applyNumberFormat="0" applyAlignment="0" applyProtection="0">
      <alignment vertical="center"/>
    </xf>
    <xf numFmtId="0" fontId="6" fillId="8" borderId="3" applyNumberFormat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199"/>
  <sheetViews>
    <sheetView tabSelected="1" topLeftCell="G1" workbookViewId="0">
      <selection activeCell="S4" sqref="S4"/>
    </sheetView>
  </sheetViews>
  <sheetFormatPr defaultColWidth="11" defaultRowHeight="14.25"/>
  <cols>
    <col min="2" max="2" width="8.5" style="1"/>
    <col min="3" max="3" width="14.1916666666667" customWidth="1"/>
    <col min="4" max="4" width="17.625" customWidth="1"/>
    <col min="5" max="5" width="18.1916666666667" customWidth="1"/>
    <col min="6" max="6" width="17.125" customWidth="1"/>
    <col min="7" max="7" width="16.3166666666667" style="2" customWidth="1"/>
    <col min="8" max="8" width="15.3166666666667" customWidth="1"/>
    <col min="9" max="10" width="16.3166666666667" customWidth="1"/>
    <col min="11" max="11" width="23.1916666666667" customWidth="1"/>
    <col min="12" max="12" width="19" customWidth="1"/>
    <col min="14" max="14" width="17.75" customWidth="1"/>
    <col min="15" max="15" width="18.125" customWidth="1"/>
    <col min="16" max="16" width="18.5666666666667" customWidth="1"/>
    <col min="17" max="17" width="16.3166666666667" customWidth="1"/>
    <col min="18" max="18" width="13.75"/>
  </cols>
  <sheetData>
    <row r="1" spans="1:18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="1" customFormat="1" spans="1:18">
      <c r="A2" s="4"/>
      <c r="B2" s="4"/>
      <c r="C2" s="4"/>
      <c r="D2" s="5" t="s">
        <v>1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7</v>
      </c>
      <c r="K2" s="4" t="s">
        <v>8</v>
      </c>
      <c r="L2" s="4" t="s">
        <v>9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</row>
    <row r="3" s="1" customFormat="1" spans="1:18">
      <c r="A3" s="3" t="s">
        <v>16</v>
      </c>
      <c r="B3" s="3" t="s">
        <v>17</v>
      </c>
      <c r="C3" s="6" t="s">
        <v>18</v>
      </c>
      <c r="D3" s="3" t="s">
        <v>19</v>
      </c>
      <c r="E3" s="3" t="s">
        <v>20</v>
      </c>
      <c r="F3" s="3" t="s">
        <v>19</v>
      </c>
      <c r="G3" s="3" t="s">
        <v>19</v>
      </c>
      <c r="H3" s="3" t="s">
        <v>20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3" t="s">
        <v>19</v>
      </c>
      <c r="Q3" s="3" t="s">
        <v>19</v>
      </c>
      <c r="R3" s="3" t="s">
        <v>21</v>
      </c>
    </row>
    <row r="4" s="1" customFormat="1" spans="1:18">
      <c r="A4" s="3" t="s">
        <v>22</v>
      </c>
      <c r="B4" s="3" t="s">
        <v>22</v>
      </c>
      <c r="C4" s="3" t="s">
        <v>23</v>
      </c>
      <c r="D4" s="6">
        <v>290997.4359</v>
      </c>
      <c r="E4" s="6">
        <v>4687074.6638</v>
      </c>
      <c r="F4" s="6">
        <v>0</v>
      </c>
      <c r="G4" s="6">
        <v>0</v>
      </c>
      <c r="H4" s="6">
        <v>22814736.54768</v>
      </c>
      <c r="I4" s="6">
        <v>4646707.029</v>
      </c>
      <c r="J4" s="6">
        <v>16010613.3994</v>
      </c>
      <c r="K4" s="6">
        <v>25281390.2021484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280000</v>
      </c>
      <c r="R4" s="7">
        <f>SUM(R5:R199)</f>
        <v>74011519.2779285</v>
      </c>
    </row>
    <row r="5" spans="1:18">
      <c r="A5" s="3" t="s">
        <v>24</v>
      </c>
      <c r="B5" s="3" t="s">
        <v>25</v>
      </c>
      <c r="C5" s="3" t="s">
        <v>26</v>
      </c>
      <c r="D5" s="6">
        <v>7898.837</v>
      </c>
      <c r="E5" s="6">
        <v>0</v>
      </c>
      <c r="F5" s="6">
        <v>0</v>
      </c>
      <c r="G5" s="6">
        <v>0</v>
      </c>
      <c r="H5" s="6">
        <v>286549.9</v>
      </c>
      <c r="I5" s="6">
        <v>2370.4275</v>
      </c>
      <c r="J5" s="6">
        <v>459323.7</v>
      </c>
      <c r="K5" s="6">
        <v>913087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7">
        <f>SUM(D5:Q5)</f>
        <v>1669229.8645</v>
      </c>
    </row>
    <row r="6" spans="1:18">
      <c r="A6" s="3" t="s">
        <v>24</v>
      </c>
      <c r="B6" s="3" t="s">
        <v>25</v>
      </c>
      <c r="C6" s="3" t="s">
        <v>27</v>
      </c>
      <c r="D6" s="6">
        <v>6523.5372</v>
      </c>
      <c r="E6" s="6">
        <v>0</v>
      </c>
      <c r="F6" s="6">
        <v>0</v>
      </c>
      <c r="G6" s="6">
        <v>0</v>
      </c>
      <c r="H6" s="6">
        <v>498.01</v>
      </c>
      <c r="I6" s="6">
        <v>111.801</v>
      </c>
      <c r="J6" s="6">
        <v>362776.05</v>
      </c>
      <c r="K6" s="6">
        <v>903726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7">
        <f t="shared" ref="R6:R44" si="0">SUM(D6:Q6)</f>
        <v>1273635.3982</v>
      </c>
    </row>
    <row r="7" spans="1:18">
      <c r="A7" s="3" t="s">
        <v>24</v>
      </c>
      <c r="B7" s="3" t="s">
        <v>25</v>
      </c>
      <c r="C7" s="3" t="s">
        <v>28</v>
      </c>
      <c r="D7" s="6">
        <v>15848.8626</v>
      </c>
      <c r="E7" s="6">
        <v>0</v>
      </c>
      <c r="F7" s="6">
        <v>0</v>
      </c>
      <c r="G7" s="6">
        <v>0</v>
      </c>
      <c r="H7" s="6">
        <v>176386.67</v>
      </c>
      <c r="I7" s="6">
        <v>0</v>
      </c>
      <c r="J7" s="6">
        <v>704544.75</v>
      </c>
      <c r="K7" s="6">
        <v>786938.5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7">
        <f t="shared" si="0"/>
        <v>1683718.7826</v>
      </c>
    </row>
    <row r="8" spans="1:18">
      <c r="A8" s="3" t="s">
        <v>24</v>
      </c>
      <c r="B8" s="3" t="s">
        <v>25</v>
      </c>
      <c r="C8" s="3" t="s">
        <v>29</v>
      </c>
      <c r="D8" s="6">
        <v>12610.5272</v>
      </c>
      <c r="E8" s="6">
        <v>0</v>
      </c>
      <c r="F8" s="6">
        <v>0</v>
      </c>
      <c r="G8" s="6">
        <v>0</v>
      </c>
      <c r="H8" s="6">
        <v>217587.66</v>
      </c>
      <c r="I8" s="6">
        <v>0</v>
      </c>
      <c r="J8" s="6">
        <v>672940</v>
      </c>
      <c r="K8" s="6">
        <v>719874.5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7">
        <f t="shared" si="0"/>
        <v>1623012.6872</v>
      </c>
    </row>
    <row r="9" spans="1:18">
      <c r="A9" s="3" t="s">
        <v>24</v>
      </c>
      <c r="B9" s="3" t="s">
        <v>25</v>
      </c>
      <c r="C9" s="3" t="s">
        <v>30</v>
      </c>
      <c r="D9" s="6">
        <v>12471.1213</v>
      </c>
      <c r="E9" s="6">
        <v>0</v>
      </c>
      <c r="F9" s="6">
        <v>0</v>
      </c>
      <c r="G9" s="6">
        <v>0</v>
      </c>
      <c r="H9" s="6">
        <v>818615.81</v>
      </c>
      <c r="I9" s="6">
        <v>0</v>
      </c>
      <c r="J9" s="6">
        <v>651675</v>
      </c>
      <c r="K9" s="6">
        <v>838086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7">
        <f t="shared" si="0"/>
        <v>2320847.9313</v>
      </c>
    </row>
    <row r="10" spans="1:18">
      <c r="A10" s="3" t="s">
        <v>24</v>
      </c>
      <c r="B10" s="3" t="s">
        <v>25</v>
      </c>
      <c r="C10" s="3" t="s">
        <v>31</v>
      </c>
      <c r="D10" s="6">
        <v>4716.2078</v>
      </c>
      <c r="E10" s="6">
        <v>0</v>
      </c>
      <c r="F10" s="6">
        <v>0</v>
      </c>
      <c r="G10" s="6">
        <v>0</v>
      </c>
      <c r="H10" s="6">
        <v>0</v>
      </c>
      <c r="I10" s="6">
        <v>6752.4855</v>
      </c>
      <c r="J10" s="6">
        <v>289330</v>
      </c>
      <c r="K10" s="6">
        <v>639589.5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7">
        <f t="shared" si="0"/>
        <v>940388.1933</v>
      </c>
    </row>
    <row r="11" spans="1:18">
      <c r="A11" s="3" t="s">
        <v>24</v>
      </c>
      <c r="B11" s="3" t="s">
        <v>25</v>
      </c>
      <c r="C11" s="3" t="s">
        <v>32</v>
      </c>
      <c r="D11" s="6">
        <v>2894.6785</v>
      </c>
      <c r="E11" s="6">
        <v>0</v>
      </c>
      <c r="F11" s="6">
        <v>0</v>
      </c>
      <c r="G11" s="6">
        <v>0</v>
      </c>
      <c r="H11" s="6">
        <v>0</v>
      </c>
      <c r="I11" s="6">
        <v>134499.765</v>
      </c>
      <c r="J11" s="6">
        <v>153653.88</v>
      </c>
      <c r="K11" s="6">
        <v>666097.5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7">
        <f t="shared" si="0"/>
        <v>957145.8235</v>
      </c>
    </row>
    <row r="12" spans="1:18">
      <c r="A12" s="3" t="s">
        <v>24</v>
      </c>
      <c r="B12" s="3" t="s">
        <v>25</v>
      </c>
      <c r="C12" s="3" t="s">
        <v>33</v>
      </c>
      <c r="D12" s="6">
        <v>8512.8016</v>
      </c>
      <c r="E12" s="6">
        <v>0</v>
      </c>
      <c r="F12" s="6">
        <v>0</v>
      </c>
      <c r="G12" s="6">
        <v>0</v>
      </c>
      <c r="H12" s="6">
        <v>39968.42</v>
      </c>
      <c r="I12" s="6">
        <v>25303.4505</v>
      </c>
      <c r="J12" s="6">
        <v>198952.05</v>
      </c>
      <c r="K12" s="6">
        <v>663018.5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7">
        <f t="shared" si="0"/>
        <v>935755.2221</v>
      </c>
    </row>
    <row r="13" spans="1:18">
      <c r="A13" s="3" t="s">
        <v>24</v>
      </c>
      <c r="B13" s="3" t="s">
        <v>25</v>
      </c>
      <c r="C13" s="3" t="s">
        <v>34</v>
      </c>
      <c r="D13" s="6">
        <v>4223.5271</v>
      </c>
      <c r="E13" s="6">
        <v>0</v>
      </c>
      <c r="F13" s="6">
        <v>0</v>
      </c>
      <c r="G13" s="6">
        <v>0</v>
      </c>
      <c r="H13" s="6">
        <v>0</v>
      </c>
      <c r="I13" s="6">
        <v>11011.665</v>
      </c>
      <c r="J13" s="6">
        <v>228320.4</v>
      </c>
      <c r="K13" s="6">
        <v>296707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7">
        <f t="shared" si="0"/>
        <v>540262.5921</v>
      </c>
    </row>
    <row r="14" spans="1:18">
      <c r="A14" s="3" t="s">
        <v>24</v>
      </c>
      <c r="B14" s="3" t="s">
        <v>25</v>
      </c>
      <c r="C14" s="3" t="s">
        <v>35</v>
      </c>
      <c r="D14" s="6">
        <v>10239.758</v>
      </c>
      <c r="E14" s="6">
        <v>0</v>
      </c>
      <c r="F14" s="6">
        <v>0</v>
      </c>
      <c r="G14" s="6">
        <v>0</v>
      </c>
      <c r="H14" s="6">
        <v>706590</v>
      </c>
      <c r="I14" s="6">
        <v>0</v>
      </c>
      <c r="J14" s="6">
        <v>722660</v>
      </c>
      <c r="K14" s="6">
        <v>668682.5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7">
        <f t="shared" si="0"/>
        <v>2108172.258</v>
      </c>
    </row>
    <row r="15" spans="1:18">
      <c r="A15" s="3" t="s">
        <v>24</v>
      </c>
      <c r="B15" s="3" t="s">
        <v>25</v>
      </c>
      <c r="C15" s="3" t="s">
        <v>36</v>
      </c>
      <c r="D15" s="6">
        <v>27526.9121</v>
      </c>
      <c r="E15" s="6">
        <v>0</v>
      </c>
      <c r="F15" s="6">
        <v>0</v>
      </c>
      <c r="G15" s="6">
        <v>0</v>
      </c>
      <c r="H15" s="6">
        <v>2225120.54</v>
      </c>
      <c r="I15" s="6">
        <v>9918.879</v>
      </c>
      <c r="J15" s="6">
        <v>1537797</v>
      </c>
      <c r="K15" s="6">
        <v>2794739.5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7">
        <f t="shared" si="0"/>
        <v>6595102.8311</v>
      </c>
    </row>
    <row r="16" spans="1:18">
      <c r="A16" s="3" t="s">
        <v>24</v>
      </c>
      <c r="B16" s="3" t="s">
        <v>25</v>
      </c>
      <c r="C16" s="3" t="s">
        <v>37</v>
      </c>
      <c r="D16" s="6">
        <v>4727.9875</v>
      </c>
      <c r="E16" s="6">
        <v>0</v>
      </c>
      <c r="F16" s="6">
        <v>0</v>
      </c>
      <c r="G16" s="6">
        <v>0</v>
      </c>
      <c r="H16" s="6">
        <v>0</v>
      </c>
      <c r="I16" s="6">
        <v>3013.5705</v>
      </c>
      <c r="J16" s="6">
        <v>135796.65</v>
      </c>
      <c r="K16" s="6">
        <v>395151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7">
        <f t="shared" si="0"/>
        <v>538689.208</v>
      </c>
    </row>
    <row r="17" spans="1:18">
      <c r="A17" s="3" t="s">
        <v>24</v>
      </c>
      <c r="B17" s="3" t="s">
        <v>25</v>
      </c>
      <c r="C17" s="3" t="s">
        <v>38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356295.2985</v>
      </c>
      <c r="J17" s="6">
        <v>0</v>
      </c>
      <c r="K17" s="6">
        <v>72182.5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7">
        <f t="shared" si="0"/>
        <v>428477.7985</v>
      </c>
    </row>
    <row r="18" spans="1:18">
      <c r="A18" s="3" t="s">
        <v>24</v>
      </c>
      <c r="B18" s="3" t="s">
        <v>25</v>
      </c>
      <c r="C18" s="3" t="s">
        <v>39</v>
      </c>
      <c r="D18" s="6">
        <v>10823.0083</v>
      </c>
      <c r="E18" s="6">
        <v>0</v>
      </c>
      <c r="F18" s="6">
        <v>0</v>
      </c>
      <c r="G18" s="6">
        <v>0</v>
      </c>
      <c r="H18" s="6">
        <v>142578.75</v>
      </c>
      <c r="I18" s="6">
        <v>6305.322</v>
      </c>
      <c r="J18" s="6">
        <v>622977.3</v>
      </c>
      <c r="K18" s="6">
        <v>1289943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7">
        <f t="shared" si="0"/>
        <v>2072627.3803</v>
      </c>
    </row>
    <row r="19" spans="1:18">
      <c r="A19" s="3" t="s">
        <v>24</v>
      </c>
      <c r="B19" s="3" t="s">
        <v>25</v>
      </c>
      <c r="C19" s="3" t="s">
        <v>40</v>
      </c>
      <c r="D19" s="6">
        <v>4316.3161</v>
      </c>
      <c r="E19" s="6">
        <v>0</v>
      </c>
      <c r="F19" s="6">
        <v>0</v>
      </c>
      <c r="G19" s="6">
        <v>0</v>
      </c>
      <c r="H19" s="6">
        <v>91248.27</v>
      </c>
      <c r="I19" s="6">
        <v>14002.1475</v>
      </c>
      <c r="J19" s="6">
        <v>109550.7</v>
      </c>
      <c r="K19" s="6">
        <v>321150.5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7">
        <f t="shared" si="0"/>
        <v>540267.9336</v>
      </c>
    </row>
    <row r="20" spans="1:18">
      <c r="A20" s="3" t="s">
        <v>24</v>
      </c>
      <c r="B20" s="3" t="s">
        <v>25</v>
      </c>
      <c r="C20" s="3" t="s">
        <v>41</v>
      </c>
      <c r="D20" s="6">
        <v>1012.427</v>
      </c>
      <c r="E20" s="6">
        <v>0</v>
      </c>
      <c r="F20" s="6">
        <v>0</v>
      </c>
      <c r="G20" s="6">
        <v>0</v>
      </c>
      <c r="H20" s="6">
        <v>26570.69</v>
      </c>
      <c r="I20" s="6">
        <v>140.9235</v>
      </c>
      <c r="J20" s="6">
        <v>185427</v>
      </c>
      <c r="K20" s="6">
        <v>218444.5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7">
        <f t="shared" si="0"/>
        <v>431595.5405</v>
      </c>
    </row>
    <row r="21" spans="1:18">
      <c r="A21" s="3" t="s">
        <v>24</v>
      </c>
      <c r="B21" s="3" t="s">
        <v>25</v>
      </c>
      <c r="C21" s="3" t="s">
        <v>42</v>
      </c>
      <c r="D21" s="6">
        <v>15233.8666</v>
      </c>
      <c r="E21" s="6">
        <v>0</v>
      </c>
      <c r="F21" s="6">
        <v>0</v>
      </c>
      <c r="G21" s="6">
        <v>0</v>
      </c>
      <c r="H21" s="6">
        <v>256714.57</v>
      </c>
      <c r="I21" s="6">
        <v>0</v>
      </c>
      <c r="J21" s="6">
        <v>782637.9</v>
      </c>
      <c r="K21" s="6">
        <v>1540536.5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7">
        <f t="shared" si="0"/>
        <v>2595122.8366</v>
      </c>
    </row>
    <row r="22" spans="1:18">
      <c r="A22" s="3" t="s">
        <v>24</v>
      </c>
      <c r="B22" s="3" t="s">
        <v>25</v>
      </c>
      <c r="C22" s="3" t="s">
        <v>43</v>
      </c>
      <c r="D22" s="6">
        <v>19232.3677</v>
      </c>
      <c r="E22" s="6">
        <v>0</v>
      </c>
      <c r="F22" s="6">
        <v>0</v>
      </c>
      <c r="G22" s="6">
        <v>0</v>
      </c>
      <c r="H22" s="6">
        <v>129615.97</v>
      </c>
      <c r="I22" s="6">
        <v>10297.443</v>
      </c>
      <c r="J22" s="6">
        <v>1063701.45</v>
      </c>
      <c r="K22" s="6">
        <v>1725474.5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7">
        <f t="shared" si="0"/>
        <v>2948321.7307</v>
      </c>
    </row>
    <row r="23" spans="1:18">
      <c r="A23" s="3" t="s">
        <v>24</v>
      </c>
      <c r="B23" s="3" t="s">
        <v>25</v>
      </c>
      <c r="C23" s="3" t="s">
        <v>44</v>
      </c>
      <c r="D23" s="6">
        <v>23051.3399</v>
      </c>
      <c r="E23" s="6">
        <v>0</v>
      </c>
      <c r="F23" s="6">
        <v>0</v>
      </c>
      <c r="G23" s="6">
        <v>0</v>
      </c>
      <c r="H23" s="6">
        <v>1881346.71</v>
      </c>
      <c r="I23" s="6">
        <v>42.2745</v>
      </c>
      <c r="J23" s="6">
        <v>634242</v>
      </c>
      <c r="K23" s="6">
        <v>957789.5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7">
        <f t="shared" si="0"/>
        <v>3496471.8244</v>
      </c>
    </row>
    <row r="24" spans="1:18">
      <c r="A24" s="3" t="s">
        <v>24</v>
      </c>
      <c r="B24" s="3" t="s">
        <v>25</v>
      </c>
      <c r="C24" s="3" t="s">
        <v>45</v>
      </c>
      <c r="D24" s="6">
        <v>15800.7868</v>
      </c>
      <c r="E24" s="6">
        <v>0</v>
      </c>
      <c r="F24" s="6">
        <v>0</v>
      </c>
      <c r="G24" s="6">
        <v>0</v>
      </c>
      <c r="H24" s="6">
        <v>554796.85284</v>
      </c>
      <c r="I24" s="6">
        <v>38.019</v>
      </c>
      <c r="J24" s="6">
        <v>663112.8</v>
      </c>
      <c r="K24" s="6">
        <v>827428.5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7">
        <f t="shared" si="0"/>
        <v>2061176.95864</v>
      </c>
    </row>
    <row r="25" spans="1:18">
      <c r="A25" s="3" t="s">
        <v>24</v>
      </c>
      <c r="B25" s="3" t="s">
        <v>25</v>
      </c>
      <c r="C25" s="3" t="s">
        <v>46</v>
      </c>
      <c r="D25" s="6">
        <v>13726.9511</v>
      </c>
      <c r="E25" s="6">
        <v>0</v>
      </c>
      <c r="F25" s="6">
        <v>0</v>
      </c>
      <c r="G25" s="6">
        <v>0</v>
      </c>
      <c r="H25" s="6">
        <v>706265.04474</v>
      </c>
      <c r="I25" s="6">
        <v>0</v>
      </c>
      <c r="J25" s="6">
        <v>763503.5</v>
      </c>
      <c r="K25" s="6">
        <v>837271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7">
        <f t="shared" si="0"/>
        <v>2320766.49584</v>
      </c>
    </row>
    <row r="26" spans="1:18">
      <c r="A26" s="3" t="s">
        <v>24</v>
      </c>
      <c r="B26" s="3" t="s">
        <v>25</v>
      </c>
      <c r="C26" s="3" t="s">
        <v>47</v>
      </c>
      <c r="D26" s="6">
        <v>385.6748</v>
      </c>
      <c r="E26" s="6">
        <v>0</v>
      </c>
      <c r="F26" s="6">
        <v>0</v>
      </c>
      <c r="G26" s="6">
        <v>0</v>
      </c>
      <c r="H26" s="6">
        <v>0</v>
      </c>
      <c r="I26" s="6">
        <v>112.7115</v>
      </c>
      <c r="J26" s="6">
        <v>0</v>
      </c>
      <c r="K26" s="6">
        <v>291420.5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7">
        <f t="shared" si="0"/>
        <v>291918.8863</v>
      </c>
    </row>
    <row r="27" spans="1:18">
      <c r="A27" s="3" t="s">
        <v>24</v>
      </c>
      <c r="B27" s="3" t="s">
        <v>25</v>
      </c>
      <c r="C27" s="3" t="s">
        <v>48</v>
      </c>
      <c r="D27" s="6">
        <v>5579.0819</v>
      </c>
      <c r="E27" s="6">
        <v>0</v>
      </c>
      <c r="F27" s="6">
        <v>0</v>
      </c>
      <c r="G27" s="6">
        <v>0</v>
      </c>
      <c r="H27" s="6">
        <v>363064.41</v>
      </c>
      <c r="I27" s="6">
        <v>615.3495</v>
      </c>
      <c r="J27" s="6">
        <v>170904.2</v>
      </c>
      <c r="K27" s="6">
        <v>967390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7">
        <f t="shared" si="0"/>
        <v>1507553.0414</v>
      </c>
    </row>
    <row r="28" spans="1:18">
      <c r="A28" s="3" t="s">
        <v>24</v>
      </c>
      <c r="B28" s="3" t="s">
        <v>25</v>
      </c>
      <c r="C28" s="3" t="s">
        <v>49</v>
      </c>
      <c r="D28" s="6">
        <v>3451.6318</v>
      </c>
      <c r="E28" s="6">
        <v>0</v>
      </c>
      <c r="F28" s="6">
        <v>0</v>
      </c>
      <c r="G28" s="6">
        <v>0</v>
      </c>
      <c r="H28" s="6">
        <v>105559.7</v>
      </c>
      <c r="I28" s="6">
        <v>1264.9845</v>
      </c>
      <c r="J28" s="6">
        <v>171095.1</v>
      </c>
      <c r="K28" s="6">
        <v>352117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7">
        <f t="shared" si="0"/>
        <v>633488.4163</v>
      </c>
    </row>
    <row r="29" spans="1:18">
      <c r="A29" s="3" t="s">
        <v>24</v>
      </c>
      <c r="B29" s="3" t="s">
        <v>25</v>
      </c>
      <c r="C29" s="3" t="s">
        <v>50</v>
      </c>
      <c r="D29" s="6">
        <v>4479.8092</v>
      </c>
      <c r="E29" s="6">
        <v>0</v>
      </c>
      <c r="F29" s="6">
        <v>0</v>
      </c>
      <c r="G29" s="6">
        <v>0</v>
      </c>
      <c r="H29" s="6">
        <v>0</v>
      </c>
      <c r="I29" s="6">
        <v>5806.6365</v>
      </c>
      <c r="J29" s="6">
        <v>229115.7</v>
      </c>
      <c r="K29" s="6">
        <v>637825.5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7">
        <f t="shared" si="0"/>
        <v>877227.6457</v>
      </c>
    </row>
    <row r="30" spans="1:18">
      <c r="A30" s="3" t="s">
        <v>24</v>
      </c>
      <c r="B30" s="3" t="s">
        <v>25</v>
      </c>
      <c r="C30" s="3" t="s">
        <v>51</v>
      </c>
      <c r="D30" s="6">
        <v>3548.4118</v>
      </c>
      <c r="E30" s="6">
        <v>0</v>
      </c>
      <c r="F30" s="6">
        <v>0</v>
      </c>
      <c r="G30" s="6">
        <v>0</v>
      </c>
      <c r="H30" s="6">
        <v>86179.04</v>
      </c>
      <c r="I30" s="6">
        <v>2241.432</v>
      </c>
      <c r="J30" s="6">
        <v>176561.55</v>
      </c>
      <c r="K30" s="6">
        <v>372009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7">
        <f t="shared" si="0"/>
        <v>640539.4338</v>
      </c>
    </row>
    <row r="31" spans="1:18">
      <c r="A31" s="3" t="s">
        <v>24</v>
      </c>
      <c r="B31" s="3" t="s">
        <v>25</v>
      </c>
      <c r="C31" s="3" t="s">
        <v>52</v>
      </c>
      <c r="D31" s="6">
        <v>10643.0923</v>
      </c>
      <c r="E31" s="6">
        <v>0</v>
      </c>
      <c r="F31" s="6">
        <v>0</v>
      </c>
      <c r="G31" s="6">
        <v>0</v>
      </c>
      <c r="H31" s="6">
        <v>1964941</v>
      </c>
      <c r="I31" s="6">
        <v>3593.0655</v>
      </c>
      <c r="J31" s="6">
        <v>676325</v>
      </c>
      <c r="K31" s="6">
        <v>1633469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7">
        <f t="shared" si="0"/>
        <v>4288971.1578</v>
      </c>
    </row>
    <row r="32" spans="1:18">
      <c r="A32" s="3" t="s">
        <v>24</v>
      </c>
      <c r="B32" s="3" t="s">
        <v>25</v>
      </c>
      <c r="C32" s="3" t="s">
        <v>53</v>
      </c>
      <c r="D32" s="6">
        <v>20587.516</v>
      </c>
      <c r="E32" s="6">
        <v>0</v>
      </c>
      <c r="F32" s="6">
        <v>0</v>
      </c>
      <c r="G32" s="6">
        <v>0</v>
      </c>
      <c r="H32" s="6">
        <v>0</v>
      </c>
      <c r="I32" s="6">
        <v>2133.465</v>
      </c>
      <c r="J32" s="6">
        <v>1211230.05</v>
      </c>
      <c r="K32" s="6">
        <v>1240603.5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7">
        <f t="shared" si="0"/>
        <v>2474554.531</v>
      </c>
    </row>
    <row r="33" spans="1:18">
      <c r="A33" s="3" t="s">
        <v>24</v>
      </c>
      <c r="B33" s="3" t="s">
        <v>25</v>
      </c>
      <c r="C33" s="3" t="s">
        <v>54</v>
      </c>
      <c r="D33" s="6">
        <v>9887.3524</v>
      </c>
      <c r="E33" s="6">
        <v>0</v>
      </c>
      <c r="F33" s="6">
        <v>0</v>
      </c>
      <c r="G33" s="6">
        <v>0</v>
      </c>
      <c r="H33" s="6">
        <v>146027.96</v>
      </c>
      <c r="I33" s="6">
        <v>7202.7105</v>
      </c>
      <c r="J33" s="6">
        <v>428208</v>
      </c>
      <c r="K33" s="6">
        <v>834253.5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7">
        <f t="shared" si="0"/>
        <v>1425579.5229</v>
      </c>
    </row>
    <row r="34" spans="1:18">
      <c r="A34" s="3" t="s">
        <v>24</v>
      </c>
      <c r="B34" s="3" t="s">
        <v>55</v>
      </c>
      <c r="C34" s="3" t="s">
        <v>56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12.042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7">
        <f t="shared" si="0"/>
        <v>12.042</v>
      </c>
    </row>
    <row r="35" spans="1:18">
      <c r="A35" s="3" t="s">
        <v>24</v>
      </c>
      <c r="B35" s="3" t="s">
        <v>55</v>
      </c>
      <c r="C35" s="3" t="s">
        <v>57</v>
      </c>
      <c r="D35" s="6">
        <v>0</v>
      </c>
      <c r="E35" s="6">
        <v>0</v>
      </c>
      <c r="F35" s="6">
        <v>0</v>
      </c>
      <c r="G35" s="6">
        <v>0</v>
      </c>
      <c r="H35" s="6">
        <v>3139.682</v>
      </c>
      <c r="I35" s="6">
        <v>1.0965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7">
        <f t="shared" si="0"/>
        <v>3140.7785</v>
      </c>
    </row>
    <row r="36" spans="1:18">
      <c r="A36" s="3" t="s">
        <v>24</v>
      </c>
      <c r="B36" s="3" t="s">
        <v>55</v>
      </c>
      <c r="C36" s="3" t="s">
        <v>58</v>
      </c>
      <c r="D36" s="6">
        <v>1.253</v>
      </c>
      <c r="E36" s="6">
        <v>0</v>
      </c>
      <c r="F36" s="6">
        <v>0</v>
      </c>
      <c r="G36" s="6">
        <v>0</v>
      </c>
      <c r="H36" s="6">
        <v>9283.4739</v>
      </c>
      <c r="I36" s="6">
        <v>1.5315</v>
      </c>
      <c r="J36" s="6">
        <v>0</v>
      </c>
      <c r="K36" s="6">
        <v>4856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40000</v>
      </c>
      <c r="R36" s="7">
        <f t="shared" si="0"/>
        <v>54142.2584</v>
      </c>
    </row>
    <row r="37" spans="1:18">
      <c r="A37" s="3" t="s">
        <v>24</v>
      </c>
      <c r="B37" s="3" t="s">
        <v>55</v>
      </c>
      <c r="C37" s="3" t="s">
        <v>59</v>
      </c>
      <c r="D37" s="6">
        <v>5.6866</v>
      </c>
      <c r="E37" s="6">
        <v>0</v>
      </c>
      <c r="F37" s="6">
        <v>0</v>
      </c>
      <c r="G37" s="6">
        <v>0</v>
      </c>
      <c r="H37" s="6">
        <v>70642.15</v>
      </c>
      <c r="I37" s="6">
        <v>466.674</v>
      </c>
      <c r="J37" s="6">
        <v>3945</v>
      </c>
      <c r="K37" s="6">
        <v>5439.5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40000</v>
      </c>
      <c r="R37" s="7">
        <f t="shared" si="0"/>
        <v>120499.0106</v>
      </c>
    </row>
    <row r="38" spans="1:18">
      <c r="A38" s="3" t="s">
        <v>24</v>
      </c>
      <c r="B38" s="3" t="s">
        <v>55</v>
      </c>
      <c r="C38" s="3" t="s">
        <v>60</v>
      </c>
      <c r="D38" s="6">
        <v>0.4795</v>
      </c>
      <c r="E38" s="6">
        <v>0</v>
      </c>
      <c r="F38" s="6">
        <v>0</v>
      </c>
      <c r="G38" s="6">
        <v>0</v>
      </c>
      <c r="H38" s="6">
        <v>6162.4992</v>
      </c>
      <c r="I38" s="6">
        <v>392.586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40000</v>
      </c>
      <c r="R38" s="7">
        <f t="shared" si="0"/>
        <v>46555.5647</v>
      </c>
    </row>
    <row r="39" spans="1:18">
      <c r="A39" s="3" t="s">
        <v>24</v>
      </c>
      <c r="B39" s="3" t="s">
        <v>55</v>
      </c>
      <c r="C39" s="3" t="s">
        <v>61</v>
      </c>
      <c r="D39" s="6">
        <v>42.3457</v>
      </c>
      <c r="E39" s="6">
        <v>0</v>
      </c>
      <c r="F39" s="6">
        <v>0</v>
      </c>
      <c r="G39" s="6">
        <v>0</v>
      </c>
      <c r="H39" s="6">
        <v>227345.8</v>
      </c>
      <c r="I39" s="6">
        <v>627.9945</v>
      </c>
      <c r="J39" s="6">
        <v>8801</v>
      </c>
      <c r="K39" s="6">
        <v>33261.5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40000</v>
      </c>
      <c r="R39" s="7">
        <f t="shared" si="0"/>
        <v>310078.6402</v>
      </c>
    </row>
    <row r="40" spans="1:18">
      <c r="A40" s="3" t="s">
        <v>24</v>
      </c>
      <c r="B40" s="3" t="s">
        <v>55</v>
      </c>
      <c r="C40" s="3" t="s">
        <v>62</v>
      </c>
      <c r="D40" s="6">
        <v>15.0482</v>
      </c>
      <c r="E40" s="6">
        <v>0</v>
      </c>
      <c r="F40" s="6">
        <v>0</v>
      </c>
      <c r="G40" s="6">
        <v>0</v>
      </c>
      <c r="H40" s="6">
        <v>85226.575</v>
      </c>
      <c r="I40" s="6">
        <v>172.7805</v>
      </c>
      <c r="J40" s="6">
        <v>3631.6</v>
      </c>
      <c r="K40" s="6">
        <v>19571.5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40000</v>
      </c>
      <c r="R40" s="7">
        <f t="shared" si="0"/>
        <v>148617.5037</v>
      </c>
    </row>
    <row r="41" spans="1:18">
      <c r="A41" s="3" t="s">
        <v>24</v>
      </c>
      <c r="B41" s="3" t="s">
        <v>55</v>
      </c>
      <c r="C41" s="3" t="s">
        <v>63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7">
        <f t="shared" si="0"/>
        <v>0</v>
      </c>
    </row>
    <row r="42" spans="1:18">
      <c r="A42" s="3" t="s">
        <v>24</v>
      </c>
      <c r="B42" s="3" t="s">
        <v>64</v>
      </c>
      <c r="C42" s="3" t="s">
        <v>65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687.807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80000</v>
      </c>
      <c r="R42" s="7">
        <f t="shared" si="0"/>
        <v>80687.807</v>
      </c>
    </row>
    <row r="43" spans="1:18">
      <c r="A43" s="3" t="s">
        <v>24</v>
      </c>
      <c r="B43" s="3" t="s">
        <v>66</v>
      </c>
      <c r="C43" s="3" t="s">
        <v>67</v>
      </c>
      <c r="D43" s="6">
        <v>0</v>
      </c>
      <c r="E43" s="6">
        <v>0</v>
      </c>
      <c r="F43" s="6">
        <v>0</v>
      </c>
      <c r="G43" s="6">
        <v>0</v>
      </c>
      <c r="H43" s="6">
        <v>315142.31</v>
      </c>
      <c r="I43" s="6">
        <v>0</v>
      </c>
      <c r="J43" s="6">
        <v>0</v>
      </c>
      <c r="K43" s="6">
        <v>11877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7">
        <f t="shared" si="0"/>
        <v>327019.31</v>
      </c>
    </row>
    <row r="44" spans="1:18">
      <c r="A44" s="3" t="s">
        <v>24</v>
      </c>
      <c r="B44" s="3" t="s">
        <v>66</v>
      </c>
      <c r="C44" s="3" t="s">
        <v>68</v>
      </c>
      <c r="D44" s="6">
        <v>0</v>
      </c>
      <c r="E44" s="6">
        <v>0</v>
      </c>
      <c r="F44" s="6">
        <v>0</v>
      </c>
      <c r="G44" s="6">
        <v>0</v>
      </c>
      <c r="H44" s="6">
        <v>916782.08</v>
      </c>
      <c r="I44" s="6">
        <v>0</v>
      </c>
      <c r="J44" s="6">
        <v>0</v>
      </c>
      <c r="K44" s="6">
        <v>28549.5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7">
        <f t="shared" si="0"/>
        <v>945331.58</v>
      </c>
    </row>
    <row r="45" spans="1:18">
      <c r="A45" s="3" t="s">
        <v>24</v>
      </c>
      <c r="B45" s="3" t="s">
        <v>69</v>
      </c>
      <c r="C45" s="3" t="s">
        <v>70</v>
      </c>
      <c r="D45" s="6">
        <v>1767.2485</v>
      </c>
      <c r="E45" s="6">
        <v>336089.7784</v>
      </c>
      <c r="F45" s="6">
        <v>0</v>
      </c>
      <c r="G45" s="6">
        <v>0</v>
      </c>
      <c r="H45" s="6">
        <v>1536000</v>
      </c>
      <c r="I45" s="6">
        <v>687.735</v>
      </c>
      <c r="J45" s="6">
        <v>74172.1</v>
      </c>
      <c r="K45" s="6">
        <v>41524.1015625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7">
        <f t="shared" ref="R45:R70" si="1">SUM(D45:Q45)</f>
        <v>1990240.9634625</v>
      </c>
    </row>
    <row r="46" spans="1:18">
      <c r="A46" s="3" t="s">
        <v>24</v>
      </c>
      <c r="B46" s="3" t="s">
        <v>69</v>
      </c>
      <c r="C46" s="3" t="s">
        <v>71</v>
      </c>
      <c r="D46" s="6">
        <v>1286.8846</v>
      </c>
      <c r="E46" s="6">
        <v>287836.6203</v>
      </c>
      <c r="F46" s="6">
        <v>0</v>
      </c>
      <c r="G46" s="6">
        <v>0</v>
      </c>
      <c r="H46" s="6">
        <v>641200</v>
      </c>
      <c r="I46" s="6">
        <v>19.797</v>
      </c>
      <c r="J46" s="6">
        <v>72943.37</v>
      </c>
      <c r="K46" s="6">
        <v>33275.8984375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7">
        <f t="shared" si="1"/>
        <v>1036562.5703375</v>
      </c>
    </row>
    <row r="47" spans="1:18">
      <c r="A47" s="3" t="s">
        <v>24</v>
      </c>
      <c r="B47" s="3" t="s">
        <v>69</v>
      </c>
      <c r="C47" s="3" t="s">
        <v>72</v>
      </c>
      <c r="D47" s="6">
        <v>0</v>
      </c>
      <c r="E47" s="6">
        <v>0</v>
      </c>
      <c r="F47" s="6">
        <v>0</v>
      </c>
      <c r="G47" s="6">
        <v>0</v>
      </c>
      <c r="H47" s="6">
        <v>0</v>
      </c>
      <c r="I47" s="6">
        <v>0</v>
      </c>
      <c r="J47" s="6">
        <v>0</v>
      </c>
      <c r="K47" s="6">
        <v>232235.09375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7">
        <f t="shared" si="1"/>
        <v>232235.09375</v>
      </c>
    </row>
    <row r="48" spans="1:18">
      <c r="A48" s="3" t="s">
        <v>24</v>
      </c>
      <c r="B48" s="3" t="s">
        <v>69</v>
      </c>
      <c r="C48" s="3" t="s">
        <v>73</v>
      </c>
      <c r="D48" s="6">
        <v>1.5844</v>
      </c>
      <c r="E48" s="6">
        <v>0</v>
      </c>
      <c r="F48" s="6">
        <v>0</v>
      </c>
      <c r="G48" s="6">
        <v>0</v>
      </c>
      <c r="H48" s="6">
        <v>37200</v>
      </c>
      <c r="I48" s="6">
        <v>1801.035</v>
      </c>
      <c r="J48" s="6">
        <v>1991.29</v>
      </c>
      <c r="K48" s="6">
        <v>21143.400390625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7">
        <f t="shared" si="1"/>
        <v>62137.309790625</v>
      </c>
    </row>
    <row r="49" spans="1:18">
      <c r="A49" s="3" t="s">
        <v>24</v>
      </c>
      <c r="B49" s="3" t="s">
        <v>69</v>
      </c>
      <c r="C49" s="3" t="s">
        <v>74</v>
      </c>
      <c r="D49" s="6">
        <v>806.7337</v>
      </c>
      <c r="E49" s="6">
        <v>280546.2962</v>
      </c>
      <c r="F49" s="6">
        <v>0</v>
      </c>
      <c r="G49" s="6">
        <v>0</v>
      </c>
      <c r="H49" s="6">
        <v>1068720</v>
      </c>
      <c r="I49" s="6">
        <v>4846.7565</v>
      </c>
      <c r="J49" s="6">
        <v>83037.512</v>
      </c>
      <c r="K49" s="6">
        <v>67377.203125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7">
        <f t="shared" si="1"/>
        <v>1505334.501525</v>
      </c>
    </row>
    <row r="50" spans="1:18">
      <c r="A50" s="3" t="s">
        <v>24</v>
      </c>
      <c r="B50" s="3" t="s">
        <v>69</v>
      </c>
      <c r="C50" s="3" t="s">
        <v>75</v>
      </c>
      <c r="D50" s="6">
        <v>5.6585</v>
      </c>
      <c r="E50" s="6">
        <v>0</v>
      </c>
      <c r="F50" s="6">
        <v>0</v>
      </c>
      <c r="G50" s="6">
        <v>0</v>
      </c>
      <c r="H50" s="6">
        <v>22300</v>
      </c>
      <c r="I50" s="6">
        <v>496.2315</v>
      </c>
      <c r="J50" s="6">
        <v>24.66</v>
      </c>
      <c r="K50" s="6">
        <v>9926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7">
        <f t="shared" si="1"/>
        <v>32752.55</v>
      </c>
    </row>
    <row r="51" spans="1:18">
      <c r="A51" s="3" t="s">
        <v>24</v>
      </c>
      <c r="B51" s="3" t="s">
        <v>69</v>
      </c>
      <c r="C51" s="3" t="s">
        <v>76</v>
      </c>
      <c r="D51" s="6">
        <v>1004.7164</v>
      </c>
      <c r="E51" s="6">
        <v>189820.7991</v>
      </c>
      <c r="F51" s="6">
        <v>0</v>
      </c>
      <c r="G51" s="6">
        <v>0</v>
      </c>
      <c r="H51" s="6">
        <v>1344700</v>
      </c>
      <c r="I51" s="6">
        <v>2254.4595</v>
      </c>
      <c r="J51" s="6">
        <v>57884.5325</v>
      </c>
      <c r="K51" s="6">
        <v>48937.8984375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7">
        <f t="shared" si="1"/>
        <v>1644602.4059375</v>
      </c>
    </row>
    <row r="52" spans="1:18">
      <c r="A52" s="3" t="s">
        <v>24</v>
      </c>
      <c r="B52" s="3" t="s">
        <v>69</v>
      </c>
      <c r="C52" s="3" t="s">
        <v>77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7">
        <f t="shared" si="1"/>
        <v>0</v>
      </c>
    </row>
    <row r="53" spans="1:18">
      <c r="A53" s="3" t="s">
        <v>24</v>
      </c>
      <c r="B53" s="3" t="s">
        <v>69</v>
      </c>
      <c r="C53" s="3" t="s">
        <v>78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7">
        <f t="shared" si="1"/>
        <v>0</v>
      </c>
    </row>
    <row r="54" spans="1:18">
      <c r="A54" s="3" t="s">
        <v>24</v>
      </c>
      <c r="B54" s="3" t="s">
        <v>69</v>
      </c>
      <c r="C54" s="3" t="s">
        <v>79</v>
      </c>
      <c r="D54" s="6">
        <v>12.7951</v>
      </c>
      <c r="E54" s="6">
        <v>0</v>
      </c>
      <c r="F54" s="6">
        <v>0</v>
      </c>
      <c r="G54" s="6">
        <v>0</v>
      </c>
      <c r="H54" s="6">
        <v>30700</v>
      </c>
      <c r="I54" s="6">
        <v>504.36</v>
      </c>
      <c r="J54" s="6">
        <v>836.99</v>
      </c>
      <c r="K54" s="6">
        <v>373.299987792969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7">
        <f t="shared" si="1"/>
        <v>32427.445087793</v>
      </c>
    </row>
    <row r="55" spans="1:18">
      <c r="A55" s="3" t="s">
        <v>24</v>
      </c>
      <c r="B55" s="3" t="s">
        <v>69</v>
      </c>
      <c r="C55" s="3" t="s">
        <v>80</v>
      </c>
      <c r="D55" s="6">
        <v>3.6701</v>
      </c>
      <c r="E55" s="6">
        <v>0</v>
      </c>
      <c r="F55" s="6">
        <v>0</v>
      </c>
      <c r="G55" s="6">
        <v>0</v>
      </c>
      <c r="H55" s="6">
        <v>22400</v>
      </c>
      <c r="I55" s="6">
        <v>235.47</v>
      </c>
      <c r="J55" s="6">
        <v>816.59</v>
      </c>
      <c r="K55" s="6">
        <v>482.200012207031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7">
        <f t="shared" si="1"/>
        <v>23937.930112207</v>
      </c>
    </row>
    <row r="56" spans="1:18">
      <c r="A56" s="3" t="s">
        <v>24</v>
      </c>
      <c r="B56" s="3" t="s">
        <v>69</v>
      </c>
      <c r="C56" s="3" t="s">
        <v>81</v>
      </c>
      <c r="D56" s="6">
        <v>0</v>
      </c>
      <c r="E56" s="6">
        <v>0</v>
      </c>
      <c r="F56" s="6">
        <v>0</v>
      </c>
      <c r="G56" s="6">
        <v>0</v>
      </c>
      <c r="H56" s="6">
        <v>0</v>
      </c>
      <c r="I56" s="6">
        <v>508.662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7">
        <f t="shared" si="1"/>
        <v>508.662</v>
      </c>
    </row>
    <row r="57" spans="1:18">
      <c r="A57" s="3" t="s">
        <v>24</v>
      </c>
      <c r="B57" s="3" t="s">
        <v>69</v>
      </c>
      <c r="C57" s="3" t="s">
        <v>82</v>
      </c>
      <c r="D57" s="6">
        <v>466.3115</v>
      </c>
      <c r="E57" s="6">
        <v>0</v>
      </c>
      <c r="F57" s="6">
        <v>0</v>
      </c>
      <c r="G57" s="6">
        <v>0</v>
      </c>
      <c r="H57" s="6">
        <v>721850</v>
      </c>
      <c r="I57" s="6">
        <v>86.9625</v>
      </c>
      <c r="J57" s="6">
        <v>21394.2745</v>
      </c>
      <c r="K57" s="6">
        <v>4607.2998046875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7">
        <f t="shared" si="1"/>
        <v>748404.848304688</v>
      </c>
    </row>
    <row r="58" spans="1:18">
      <c r="A58" s="3" t="s">
        <v>24</v>
      </c>
      <c r="B58" s="3" t="s">
        <v>69</v>
      </c>
      <c r="C58" s="3" t="s">
        <v>83</v>
      </c>
      <c r="D58" s="6">
        <v>426.0546</v>
      </c>
      <c r="E58" s="6">
        <v>585212.3206</v>
      </c>
      <c r="F58" s="6">
        <v>0</v>
      </c>
      <c r="G58" s="6">
        <v>0</v>
      </c>
      <c r="H58" s="6">
        <v>421495</v>
      </c>
      <c r="I58" s="6">
        <v>167.0805</v>
      </c>
      <c r="J58" s="6">
        <v>0</v>
      </c>
      <c r="K58" s="6">
        <v>38196.69921875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7">
        <f t="shared" si="1"/>
        <v>1045497.15491875</v>
      </c>
    </row>
    <row r="59" spans="1:18">
      <c r="A59" s="3" t="s">
        <v>24</v>
      </c>
      <c r="B59" s="3" t="s">
        <v>69</v>
      </c>
      <c r="C59" s="3" t="s">
        <v>84</v>
      </c>
      <c r="D59" s="6">
        <v>1918.6888</v>
      </c>
      <c r="E59" s="6">
        <v>580529.2309</v>
      </c>
      <c r="F59" s="6">
        <v>0</v>
      </c>
      <c r="G59" s="6">
        <v>0</v>
      </c>
      <c r="H59" s="6">
        <v>949200</v>
      </c>
      <c r="I59" s="6">
        <v>4189.44</v>
      </c>
      <c r="J59" s="6">
        <v>101629.94</v>
      </c>
      <c r="K59" s="6">
        <v>58578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7">
        <f t="shared" si="1"/>
        <v>1696045.2997</v>
      </c>
    </row>
    <row r="60" spans="1:18">
      <c r="A60" s="3" t="s">
        <v>24</v>
      </c>
      <c r="B60" s="3" t="s">
        <v>69</v>
      </c>
      <c r="C60" s="3" t="s">
        <v>85</v>
      </c>
      <c r="D60" s="6">
        <v>517.6411</v>
      </c>
      <c r="E60" s="6">
        <v>6626.9205</v>
      </c>
      <c r="F60" s="6">
        <v>0</v>
      </c>
      <c r="G60" s="6">
        <v>0</v>
      </c>
      <c r="H60" s="6">
        <v>594320</v>
      </c>
      <c r="I60" s="6">
        <v>4362.6735</v>
      </c>
      <c r="J60" s="6">
        <v>36106.0046</v>
      </c>
      <c r="K60" s="6">
        <v>9982.599609375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7">
        <f t="shared" si="1"/>
        <v>651915.839309375</v>
      </c>
    </row>
    <row r="61" spans="1:18">
      <c r="A61" s="3" t="s">
        <v>24</v>
      </c>
      <c r="B61" s="3" t="s">
        <v>69</v>
      </c>
      <c r="C61" s="3" t="s">
        <v>86</v>
      </c>
      <c r="D61" s="6">
        <v>285.667</v>
      </c>
      <c r="E61" s="6">
        <v>7286.09</v>
      </c>
      <c r="F61" s="6">
        <v>0</v>
      </c>
      <c r="G61" s="6">
        <v>0</v>
      </c>
      <c r="H61" s="6">
        <v>475500</v>
      </c>
      <c r="I61" s="6">
        <v>47506.2945</v>
      </c>
      <c r="J61" s="6">
        <v>14378.28</v>
      </c>
      <c r="K61" s="6">
        <v>4464.60009765625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7">
        <f t="shared" si="1"/>
        <v>549420.931597656</v>
      </c>
    </row>
    <row r="62" spans="1:18">
      <c r="A62" s="3" t="s">
        <v>24</v>
      </c>
      <c r="B62" s="3" t="s">
        <v>69</v>
      </c>
      <c r="C62" s="3" t="s">
        <v>87</v>
      </c>
      <c r="D62" s="6">
        <v>297.1164</v>
      </c>
      <c r="E62" s="6">
        <v>73089.4514</v>
      </c>
      <c r="F62" s="6">
        <v>0</v>
      </c>
      <c r="G62" s="6">
        <v>0</v>
      </c>
      <c r="H62" s="6">
        <v>631800</v>
      </c>
      <c r="I62" s="6">
        <v>13122.153</v>
      </c>
      <c r="J62" s="6">
        <v>19012.968</v>
      </c>
      <c r="K62" s="6">
        <v>14204.7001953125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7">
        <f t="shared" si="1"/>
        <v>751526.388995313</v>
      </c>
    </row>
    <row r="63" spans="1:18">
      <c r="A63" s="3" t="s">
        <v>24</v>
      </c>
      <c r="B63" s="3" t="s">
        <v>69</v>
      </c>
      <c r="C63" s="3" t="s">
        <v>88</v>
      </c>
      <c r="D63" s="6">
        <v>46.674</v>
      </c>
      <c r="E63" s="6">
        <v>1182.8638</v>
      </c>
      <c r="F63" s="6">
        <v>0</v>
      </c>
      <c r="G63" s="6">
        <v>0</v>
      </c>
      <c r="H63" s="6">
        <v>48000</v>
      </c>
      <c r="I63" s="6">
        <v>208.986</v>
      </c>
      <c r="J63" s="6">
        <v>1242.9615</v>
      </c>
      <c r="K63" s="6">
        <v>1112.5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7">
        <f t="shared" si="1"/>
        <v>51793.9853</v>
      </c>
    </row>
    <row r="64" spans="1:18">
      <c r="A64" s="3" t="s">
        <v>24</v>
      </c>
      <c r="B64" s="3" t="s">
        <v>69</v>
      </c>
      <c r="C64" s="3" t="s">
        <v>89</v>
      </c>
      <c r="D64" s="6">
        <v>917.3242</v>
      </c>
      <c r="E64" s="6">
        <v>215586.0081</v>
      </c>
      <c r="F64" s="6">
        <v>0</v>
      </c>
      <c r="G64" s="6">
        <v>0</v>
      </c>
      <c r="H64" s="6">
        <v>552210</v>
      </c>
      <c r="I64" s="6">
        <v>6281.133</v>
      </c>
      <c r="J64" s="6">
        <v>47201.4525</v>
      </c>
      <c r="K64" s="6">
        <v>17397.80078125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7">
        <f t="shared" si="1"/>
        <v>839593.71858125</v>
      </c>
    </row>
    <row r="65" spans="1:18">
      <c r="A65" s="3" t="s">
        <v>24</v>
      </c>
      <c r="B65" s="3" t="s">
        <v>69</v>
      </c>
      <c r="C65" s="3" t="s">
        <v>90</v>
      </c>
      <c r="D65" s="6">
        <v>207.2327</v>
      </c>
      <c r="E65" s="6">
        <v>9754.5794</v>
      </c>
      <c r="F65" s="6">
        <v>0</v>
      </c>
      <c r="G65" s="6">
        <v>0</v>
      </c>
      <c r="H65" s="6">
        <v>321200</v>
      </c>
      <c r="I65" s="6">
        <v>1070.2935</v>
      </c>
      <c r="J65" s="6">
        <v>13085.14</v>
      </c>
      <c r="K65" s="6">
        <v>7867.10009765625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7">
        <f t="shared" si="1"/>
        <v>353184.345697656</v>
      </c>
    </row>
    <row r="66" spans="1:18">
      <c r="A66" s="3" t="s">
        <v>24</v>
      </c>
      <c r="B66" s="3" t="s">
        <v>69</v>
      </c>
      <c r="C66" s="3" t="s">
        <v>91</v>
      </c>
      <c r="D66" s="6">
        <v>84.113</v>
      </c>
      <c r="E66" s="6">
        <v>66745.955</v>
      </c>
      <c r="F66" s="6">
        <v>0</v>
      </c>
      <c r="G66" s="6">
        <v>0</v>
      </c>
      <c r="H66" s="6">
        <v>224412</v>
      </c>
      <c r="I66" s="6">
        <v>26.904</v>
      </c>
      <c r="J66" s="6">
        <v>0</v>
      </c>
      <c r="K66" s="6">
        <v>18171.900390625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7">
        <f t="shared" si="1"/>
        <v>309440.872390625</v>
      </c>
    </row>
    <row r="67" spans="1:18">
      <c r="A67" s="3" t="s">
        <v>24</v>
      </c>
      <c r="B67" s="3" t="s">
        <v>69</v>
      </c>
      <c r="C67" s="3" t="s">
        <v>92</v>
      </c>
      <c r="D67" s="6">
        <v>422.1887</v>
      </c>
      <c r="E67" s="6">
        <v>316378.4048</v>
      </c>
      <c r="F67" s="6">
        <v>0</v>
      </c>
      <c r="G67" s="6">
        <v>0</v>
      </c>
      <c r="H67" s="6">
        <v>611579</v>
      </c>
      <c r="I67" s="6">
        <v>5322.1965</v>
      </c>
      <c r="J67" s="6">
        <v>18857.5039</v>
      </c>
      <c r="K67" s="6">
        <v>142970.90625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7">
        <f t="shared" si="1"/>
        <v>1095530.20015</v>
      </c>
    </row>
    <row r="68" spans="1:18">
      <c r="A68" s="3" t="s">
        <v>24</v>
      </c>
      <c r="B68" s="3" t="s">
        <v>93</v>
      </c>
      <c r="C68" s="3" t="s">
        <v>94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418.0875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7">
        <f t="shared" si="1"/>
        <v>418.0875</v>
      </c>
    </row>
    <row r="69" spans="1:18">
      <c r="A69" s="3" t="s">
        <v>24</v>
      </c>
      <c r="B69" s="3" t="s">
        <v>93</v>
      </c>
      <c r="C69" s="3" t="s">
        <v>95</v>
      </c>
      <c r="D69" s="6">
        <v>3.218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3938.0351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7">
        <f t="shared" si="1"/>
        <v>3941.2531</v>
      </c>
    </row>
    <row r="70" spans="1:18">
      <c r="A70" s="3" t="s">
        <v>24</v>
      </c>
      <c r="B70" s="3" t="s">
        <v>93</v>
      </c>
      <c r="C70" s="3" t="s">
        <v>96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14137.5855</v>
      </c>
      <c r="J70" s="6">
        <v>18616.6287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7">
        <f t="shared" si="1"/>
        <v>32754.2142</v>
      </c>
    </row>
    <row r="71" spans="1:18">
      <c r="A71" s="3" t="s">
        <v>24</v>
      </c>
      <c r="B71" s="3" t="s">
        <v>93</v>
      </c>
      <c r="C71" s="3" t="s">
        <v>97</v>
      </c>
      <c r="D71" s="6">
        <v>1.7836</v>
      </c>
      <c r="E71" s="6">
        <v>146.376</v>
      </c>
      <c r="F71" s="6">
        <v>0</v>
      </c>
      <c r="G71" s="6">
        <v>0</v>
      </c>
      <c r="H71" s="6">
        <v>0</v>
      </c>
      <c r="I71" s="6">
        <v>2244.7725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7">
        <f t="shared" ref="R71:R102" si="2">SUM(D71:Q71)</f>
        <v>2392.9321</v>
      </c>
    </row>
    <row r="72" spans="1:18">
      <c r="A72" s="3" t="s">
        <v>24</v>
      </c>
      <c r="B72" s="3" t="s">
        <v>93</v>
      </c>
      <c r="C72" s="3" t="s">
        <v>98</v>
      </c>
      <c r="D72" s="6">
        <v>11.3832</v>
      </c>
      <c r="E72" s="6">
        <v>3240.9814</v>
      </c>
      <c r="F72" s="6">
        <v>0</v>
      </c>
      <c r="G72" s="6">
        <v>0</v>
      </c>
      <c r="H72" s="6">
        <v>0</v>
      </c>
      <c r="I72" s="6">
        <v>9.1215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7">
        <f t="shared" si="2"/>
        <v>3261.4861</v>
      </c>
    </row>
    <row r="73" spans="1:18">
      <c r="A73" s="3" t="s">
        <v>24</v>
      </c>
      <c r="B73" s="3" t="s">
        <v>93</v>
      </c>
      <c r="C73" s="3" t="s">
        <v>99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380.358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7">
        <f t="shared" si="2"/>
        <v>380.358</v>
      </c>
    </row>
    <row r="74" spans="1:18">
      <c r="A74" s="3" t="s">
        <v>24</v>
      </c>
      <c r="B74" s="3" t="s">
        <v>93</v>
      </c>
      <c r="C74" s="3" t="s">
        <v>100</v>
      </c>
      <c r="D74" s="6">
        <v>8.1653</v>
      </c>
      <c r="E74" s="6">
        <v>522.72</v>
      </c>
      <c r="F74" s="6">
        <v>0</v>
      </c>
      <c r="G74" s="6">
        <v>0</v>
      </c>
      <c r="H74" s="6">
        <v>0</v>
      </c>
      <c r="I74" s="6">
        <v>588.624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7">
        <f t="shared" si="2"/>
        <v>1119.5093</v>
      </c>
    </row>
    <row r="75" spans="1:18">
      <c r="A75" s="3" t="s">
        <v>24</v>
      </c>
      <c r="B75" s="3" t="s">
        <v>93</v>
      </c>
      <c r="C75" s="3" t="s">
        <v>101</v>
      </c>
      <c r="D75" s="6">
        <v>1.8024</v>
      </c>
      <c r="E75" s="6">
        <v>0</v>
      </c>
      <c r="F75" s="6">
        <v>0</v>
      </c>
      <c r="G75" s="6">
        <v>0</v>
      </c>
      <c r="H75" s="6">
        <v>0</v>
      </c>
      <c r="I75" s="6">
        <v>129.6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7">
        <f t="shared" si="2"/>
        <v>131.4024</v>
      </c>
    </row>
    <row r="76" spans="1:18">
      <c r="A76" s="3" t="s">
        <v>24</v>
      </c>
      <c r="B76" s="3" t="s">
        <v>93</v>
      </c>
      <c r="C76" s="3" t="s">
        <v>102</v>
      </c>
      <c r="D76" s="6">
        <v>7.3649</v>
      </c>
      <c r="E76" s="6">
        <v>0</v>
      </c>
      <c r="F76" s="6">
        <v>0</v>
      </c>
      <c r="G76" s="6">
        <v>0</v>
      </c>
      <c r="H76" s="6">
        <v>0</v>
      </c>
      <c r="I76" s="6">
        <v>6767.409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7">
        <f t="shared" si="2"/>
        <v>6774.7739</v>
      </c>
    </row>
    <row r="77" spans="1:18">
      <c r="A77" s="3" t="s">
        <v>24</v>
      </c>
      <c r="B77" s="3" t="s">
        <v>93</v>
      </c>
      <c r="C77" s="3" t="s">
        <v>103</v>
      </c>
      <c r="D77" s="6">
        <v>8.1893</v>
      </c>
      <c r="E77" s="6">
        <v>3939.516</v>
      </c>
      <c r="F77" s="6">
        <v>0</v>
      </c>
      <c r="G77" s="6">
        <v>0</v>
      </c>
      <c r="H77" s="6">
        <v>0</v>
      </c>
      <c r="I77" s="6">
        <v>0.7065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7">
        <f t="shared" si="2"/>
        <v>3948.4118</v>
      </c>
    </row>
    <row r="78" spans="1:18">
      <c r="A78" s="3" t="s">
        <v>24</v>
      </c>
      <c r="B78" s="3" t="s">
        <v>93</v>
      </c>
      <c r="C78" s="3" t="s">
        <v>104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2924.799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7">
        <f t="shared" si="2"/>
        <v>2924.799</v>
      </c>
    </row>
    <row r="79" spans="1:18">
      <c r="A79" s="3" t="s">
        <v>24</v>
      </c>
      <c r="B79" s="3" t="s">
        <v>93</v>
      </c>
      <c r="C79" s="3" t="s">
        <v>105</v>
      </c>
      <c r="D79" s="6">
        <v>0.6422</v>
      </c>
      <c r="E79" s="6">
        <v>0</v>
      </c>
      <c r="F79" s="6">
        <v>0</v>
      </c>
      <c r="G79" s="6">
        <v>0</v>
      </c>
      <c r="H79" s="6">
        <v>0</v>
      </c>
      <c r="I79" s="6">
        <v>96.0435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7">
        <f t="shared" si="2"/>
        <v>96.6857</v>
      </c>
    </row>
    <row r="80" spans="1:18">
      <c r="A80" s="3" t="s">
        <v>24</v>
      </c>
      <c r="B80" s="3" t="s">
        <v>93</v>
      </c>
      <c r="C80" s="3" t="s">
        <v>106</v>
      </c>
      <c r="D80" s="6">
        <v>8.9255</v>
      </c>
      <c r="E80" s="6">
        <v>0</v>
      </c>
      <c r="F80" s="6">
        <v>0</v>
      </c>
      <c r="G80" s="6">
        <v>0</v>
      </c>
      <c r="H80" s="6">
        <v>0</v>
      </c>
      <c r="I80" s="6">
        <v>5.1195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7">
        <f t="shared" si="2"/>
        <v>14.045</v>
      </c>
    </row>
    <row r="81" spans="1:18">
      <c r="A81" s="3" t="s">
        <v>24</v>
      </c>
      <c r="B81" s="3" t="s">
        <v>93</v>
      </c>
      <c r="C81" s="3" t="s">
        <v>107</v>
      </c>
      <c r="D81" s="6">
        <v>22.0668</v>
      </c>
      <c r="E81" s="6">
        <v>207.522</v>
      </c>
      <c r="F81" s="6">
        <v>0</v>
      </c>
      <c r="G81" s="6">
        <v>0</v>
      </c>
      <c r="H81" s="6">
        <v>0</v>
      </c>
      <c r="I81" s="6">
        <v>75850.3365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7">
        <f t="shared" si="2"/>
        <v>76079.9253</v>
      </c>
    </row>
    <row r="82" spans="1:18">
      <c r="A82" s="3" t="s">
        <v>24</v>
      </c>
      <c r="B82" s="3" t="s">
        <v>93</v>
      </c>
      <c r="C82" s="3" t="s">
        <v>108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3413.151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7">
        <f t="shared" si="2"/>
        <v>3413.151</v>
      </c>
    </row>
    <row r="83" spans="1:18">
      <c r="A83" s="3" t="s">
        <v>24</v>
      </c>
      <c r="B83" s="3" t="s">
        <v>93</v>
      </c>
      <c r="C83" s="3" t="s">
        <v>109</v>
      </c>
      <c r="D83" s="6">
        <v>26.8942</v>
      </c>
      <c r="E83" s="6">
        <v>122.5728</v>
      </c>
      <c r="F83" s="6">
        <v>0</v>
      </c>
      <c r="G83" s="6">
        <v>0</v>
      </c>
      <c r="H83" s="6">
        <v>0</v>
      </c>
      <c r="I83" s="6">
        <v>144.81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7">
        <f t="shared" si="2"/>
        <v>294.277</v>
      </c>
    </row>
    <row r="84" spans="1:18">
      <c r="A84" s="3" t="s">
        <v>24</v>
      </c>
      <c r="B84" s="3" t="s">
        <v>93</v>
      </c>
      <c r="C84" s="3" t="s">
        <v>110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17.232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7">
        <f t="shared" si="2"/>
        <v>17.232</v>
      </c>
    </row>
    <row r="85" spans="1:18">
      <c r="A85" s="3" t="s">
        <v>24</v>
      </c>
      <c r="B85" s="3" t="s">
        <v>93</v>
      </c>
      <c r="C85" s="3" t="s">
        <v>111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98.979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7">
        <f t="shared" si="2"/>
        <v>98.979</v>
      </c>
    </row>
    <row r="86" spans="1:18">
      <c r="A86" s="3" t="s">
        <v>24</v>
      </c>
      <c r="B86" s="3" t="s">
        <v>93</v>
      </c>
      <c r="C86" s="3" t="s">
        <v>112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17.169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7">
        <f t="shared" si="2"/>
        <v>17.169</v>
      </c>
    </row>
    <row r="87" spans="1:18">
      <c r="A87" s="3" t="s">
        <v>24</v>
      </c>
      <c r="B87" s="3" t="s">
        <v>93</v>
      </c>
      <c r="C87" s="3" t="s">
        <v>113</v>
      </c>
      <c r="D87" s="6">
        <v>1.14</v>
      </c>
      <c r="E87" s="6">
        <v>0</v>
      </c>
      <c r="F87" s="6">
        <v>0</v>
      </c>
      <c r="G87" s="6">
        <v>0</v>
      </c>
      <c r="H87" s="6">
        <v>0</v>
      </c>
      <c r="I87" s="6">
        <v>586.071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7">
        <f t="shared" si="2"/>
        <v>587.211</v>
      </c>
    </row>
    <row r="88" spans="1:18">
      <c r="A88" s="3" t="s">
        <v>24</v>
      </c>
      <c r="B88" s="3" t="s">
        <v>93</v>
      </c>
      <c r="C88" s="3" t="s">
        <v>114</v>
      </c>
      <c r="D88" s="6">
        <v>11.339</v>
      </c>
      <c r="E88" s="6">
        <v>0</v>
      </c>
      <c r="F88" s="6">
        <v>0</v>
      </c>
      <c r="G88" s="6">
        <v>0</v>
      </c>
      <c r="H88" s="6">
        <v>0</v>
      </c>
      <c r="I88" s="6">
        <v>760.7115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7">
        <f t="shared" si="2"/>
        <v>772.0505</v>
      </c>
    </row>
    <row r="89" spans="1:18">
      <c r="A89" s="3" t="s">
        <v>24</v>
      </c>
      <c r="B89" s="3" t="s">
        <v>93</v>
      </c>
      <c r="C89" s="3" t="s">
        <v>115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535.8795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7">
        <f t="shared" si="2"/>
        <v>535.8795</v>
      </c>
    </row>
    <row r="90" spans="1:18">
      <c r="A90" s="3" t="s">
        <v>24</v>
      </c>
      <c r="B90" s="3" t="s">
        <v>93</v>
      </c>
      <c r="C90" s="3" t="s">
        <v>116</v>
      </c>
      <c r="D90" s="6">
        <v>0</v>
      </c>
      <c r="E90" s="6">
        <v>7.6734</v>
      </c>
      <c r="F90" s="6">
        <v>0</v>
      </c>
      <c r="G90" s="6">
        <v>0</v>
      </c>
      <c r="H90" s="6">
        <v>0</v>
      </c>
      <c r="I90" s="6">
        <v>345.0435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7">
        <f t="shared" si="2"/>
        <v>352.7169</v>
      </c>
    </row>
    <row r="91" spans="1:18">
      <c r="A91" s="3" t="s">
        <v>24</v>
      </c>
      <c r="B91" s="3" t="s">
        <v>93</v>
      </c>
      <c r="C91" s="3" t="s">
        <v>117</v>
      </c>
      <c r="D91" s="6">
        <v>4.0668</v>
      </c>
      <c r="E91" s="6">
        <v>0</v>
      </c>
      <c r="F91" s="6">
        <v>0</v>
      </c>
      <c r="G91" s="6">
        <v>0</v>
      </c>
      <c r="H91" s="6">
        <v>0</v>
      </c>
      <c r="I91" s="6">
        <v>7.9605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7">
        <f t="shared" si="2"/>
        <v>12.0273</v>
      </c>
    </row>
    <row r="92" spans="1:18">
      <c r="A92" s="3" t="s">
        <v>24</v>
      </c>
      <c r="B92" s="3" t="s">
        <v>93</v>
      </c>
      <c r="C92" s="3" t="s">
        <v>118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375.951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7">
        <f t="shared" si="2"/>
        <v>375.951</v>
      </c>
    </row>
    <row r="93" spans="1:18">
      <c r="A93" s="3" t="s">
        <v>24</v>
      </c>
      <c r="B93" s="3" t="s">
        <v>93</v>
      </c>
      <c r="C93" s="3" t="s">
        <v>119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384.3495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7">
        <f t="shared" si="2"/>
        <v>384.3495</v>
      </c>
    </row>
    <row r="94" spans="1:18">
      <c r="A94" s="3" t="s">
        <v>24</v>
      </c>
      <c r="B94" s="3" t="s">
        <v>93</v>
      </c>
      <c r="C94" s="3" t="s">
        <v>120</v>
      </c>
      <c r="D94" s="6">
        <v>21.7273</v>
      </c>
      <c r="E94" s="6">
        <v>183.5496</v>
      </c>
      <c r="F94" s="6">
        <v>0</v>
      </c>
      <c r="G94" s="6">
        <v>0</v>
      </c>
      <c r="H94" s="6">
        <v>0</v>
      </c>
      <c r="I94" s="6">
        <v>189016.2585</v>
      </c>
      <c r="J94" s="6">
        <v>29678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7">
        <f t="shared" si="2"/>
        <v>218899.5354</v>
      </c>
    </row>
    <row r="95" spans="1:18">
      <c r="A95" s="3" t="s">
        <v>24</v>
      </c>
      <c r="B95" s="3" t="s">
        <v>93</v>
      </c>
      <c r="C95" s="3" t="s">
        <v>121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176.571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7">
        <f t="shared" si="2"/>
        <v>176.571</v>
      </c>
    </row>
    <row r="96" spans="1:18">
      <c r="A96" s="3" t="s">
        <v>24</v>
      </c>
      <c r="B96" s="3" t="s">
        <v>93</v>
      </c>
      <c r="C96" s="3" t="s">
        <v>122</v>
      </c>
      <c r="D96" s="6">
        <v>3.9077</v>
      </c>
      <c r="E96" s="6">
        <v>145.44</v>
      </c>
      <c r="F96" s="6">
        <v>0</v>
      </c>
      <c r="G96" s="6">
        <v>0</v>
      </c>
      <c r="H96" s="6">
        <v>0</v>
      </c>
      <c r="I96" s="6">
        <v>3426.7395</v>
      </c>
      <c r="J96" s="6">
        <v>11245.1113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7">
        <f t="shared" si="2"/>
        <v>14821.1985</v>
      </c>
    </row>
    <row r="97" spans="1:18">
      <c r="A97" s="3" t="s">
        <v>24</v>
      </c>
      <c r="B97" s="3" t="s">
        <v>93</v>
      </c>
      <c r="C97" s="3" t="s">
        <v>123</v>
      </c>
      <c r="D97" s="6">
        <v>0.4988</v>
      </c>
      <c r="E97" s="6">
        <v>129.4438</v>
      </c>
      <c r="F97" s="6">
        <v>0</v>
      </c>
      <c r="G97" s="6">
        <v>0</v>
      </c>
      <c r="H97" s="6">
        <v>0</v>
      </c>
      <c r="I97" s="6">
        <v>32681.5155</v>
      </c>
      <c r="J97" s="6">
        <v>14958.7966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7">
        <f t="shared" si="2"/>
        <v>47770.2547</v>
      </c>
    </row>
    <row r="98" spans="1:18">
      <c r="A98" s="3" t="s">
        <v>24</v>
      </c>
      <c r="B98" s="3" t="s">
        <v>93</v>
      </c>
      <c r="C98" s="3" t="s">
        <v>124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7">
        <f t="shared" si="2"/>
        <v>0</v>
      </c>
    </row>
    <row r="99" spans="1:18">
      <c r="A99" s="3" t="s">
        <v>24</v>
      </c>
      <c r="B99" s="3" t="s">
        <v>93</v>
      </c>
      <c r="C99" s="3" t="s">
        <v>125</v>
      </c>
      <c r="D99" s="6">
        <v>3.2532</v>
      </c>
      <c r="E99" s="6">
        <v>0</v>
      </c>
      <c r="F99" s="6">
        <v>0</v>
      </c>
      <c r="G99" s="6">
        <v>0</v>
      </c>
      <c r="H99" s="6">
        <v>0</v>
      </c>
      <c r="I99" s="6">
        <v>68.727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7">
        <f t="shared" si="2"/>
        <v>71.9802</v>
      </c>
    </row>
    <row r="100" spans="1:18">
      <c r="A100" s="3" t="s">
        <v>24</v>
      </c>
      <c r="B100" s="3" t="s">
        <v>93</v>
      </c>
      <c r="C100" s="3" t="s">
        <v>126</v>
      </c>
      <c r="D100" s="6">
        <v>4.3817</v>
      </c>
      <c r="E100" s="6">
        <v>3.24</v>
      </c>
      <c r="F100" s="6">
        <v>0</v>
      </c>
      <c r="G100" s="6">
        <v>0</v>
      </c>
      <c r="H100" s="6">
        <v>0</v>
      </c>
      <c r="I100" s="6">
        <v>11385.8355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7">
        <f t="shared" si="2"/>
        <v>11393.4572</v>
      </c>
    </row>
    <row r="101" spans="1:18">
      <c r="A101" s="3" t="s">
        <v>24</v>
      </c>
      <c r="B101" s="3" t="s">
        <v>93</v>
      </c>
      <c r="C101" s="3" t="s">
        <v>127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219.3225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7">
        <f t="shared" si="2"/>
        <v>219.3225</v>
      </c>
    </row>
    <row r="102" spans="1:18">
      <c r="A102" s="3" t="s">
        <v>24</v>
      </c>
      <c r="B102" s="3" t="s">
        <v>93</v>
      </c>
      <c r="C102" s="3" t="s">
        <v>128</v>
      </c>
      <c r="D102" s="6">
        <v>2.0876</v>
      </c>
      <c r="E102" s="6">
        <v>0</v>
      </c>
      <c r="F102" s="6">
        <v>0</v>
      </c>
      <c r="G102" s="6">
        <v>0</v>
      </c>
      <c r="H102" s="6">
        <v>0</v>
      </c>
      <c r="I102" s="6">
        <v>88.9125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7">
        <f t="shared" si="2"/>
        <v>91.0001</v>
      </c>
    </row>
    <row r="103" spans="1:18">
      <c r="A103" s="3" t="s">
        <v>24</v>
      </c>
      <c r="B103" s="3" t="s">
        <v>93</v>
      </c>
      <c r="C103" s="3" t="s">
        <v>129</v>
      </c>
      <c r="D103" s="6">
        <v>0.7499</v>
      </c>
      <c r="E103" s="6">
        <v>137.862</v>
      </c>
      <c r="F103" s="6">
        <v>0</v>
      </c>
      <c r="G103" s="6">
        <v>0</v>
      </c>
      <c r="H103" s="6">
        <v>0</v>
      </c>
      <c r="I103" s="6">
        <v>119.478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7">
        <f t="shared" ref="R103:R134" si="3">SUM(D103:Q103)</f>
        <v>258.0899</v>
      </c>
    </row>
    <row r="104" spans="1:18">
      <c r="A104" s="3" t="s">
        <v>24</v>
      </c>
      <c r="B104" s="3" t="s">
        <v>93</v>
      </c>
      <c r="C104" s="3" t="s">
        <v>130</v>
      </c>
      <c r="D104" s="6">
        <v>6.5035</v>
      </c>
      <c r="E104" s="6">
        <v>136.2686</v>
      </c>
      <c r="F104" s="6">
        <v>0</v>
      </c>
      <c r="G104" s="6">
        <v>0</v>
      </c>
      <c r="H104" s="6">
        <v>0</v>
      </c>
      <c r="I104" s="6">
        <v>63576.5835</v>
      </c>
      <c r="J104" s="6">
        <v>7154.5959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7">
        <f t="shared" si="3"/>
        <v>70873.9515</v>
      </c>
    </row>
    <row r="105" spans="1:18">
      <c r="A105" s="3" t="s">
        <v>24</v>
      </c>
      <c r="B105" s="3" t="s">
        <v>93</v>
      </c>
      <c r="C105" s="3" t="s">
        <v>131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2033.7105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7">
        <f t="shared" si="3"/>
        <v>2033.7105</v>
      </c>
    </row>
    <row r="106" spans="1:18">
      <c r="A106" s="3" t="s">
        <v>24</v>
      </c>
      <c r="B106" s="3" t="s">
        <v>93</v>
      </c>
      <c r="C106" s="3" t="s">
        <v>132</v>
      </c>
      <c r="D106" s="6">
        <v>0.8748</v>
      </c>
      <c r="E106" s="6">
        <v>632.7936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7">
        <f t="shared" si="3"/>
        <v>633.6684</v>
      </c>
    </row>
    <row r="107" spans="1:18">
      <c r="A107" s="3" t="s">
        <v>24</v>
      </c>
      <c r="B107" s="3" t="s">
        <v>93</v>
      </c>
      <c r="C107" s="3" t="s">
        <v>133</v>
      </c>
      <c r="D107" s="6">
        <v>0.289</v>
      </c>
      <c r="E107" s="6">
        <v>447.48</v>
      </c>
      <c r="F107" s="6">
        <v>0</v>
      </c>
      <c r="G107" s="6">
        <v>0</v>
      </c>
      <c r="H107" s="6">
        <v>0</v>
      </c>
      <c r="I107" s="6">
        <v>134.919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7">
        <f t="shared" si="3"/>
        <v>582.688</v>
      </c>
    </row>
    <row r="108" spans="1:18">
      <c r="A108" s="3" t="s">
        <v>24</v>
      </c>
      <c r="B108" s="3" t="s">
        <v>93</v>
      </c>
      <c r="C108" s="3" t="s">
        <v>134</v>
      </c>
      <c r="D108" s="6">
        <v>4.2329</v>
      </c>
      <c r="E108" s="6">
        <v>53.8488</v>
      </c>
      <c r="F108" s="6">
        <v>0</v>
      </c>
      <c r="G108" s="6">
        <v>0</v>
      </c>
      <c r="H108" s="6">
        <v>0</v>
      </c>
      <c r="I108" s="6">
        <v>410.007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7">
        <f t="shared" si="3"/>
        <v>468.0887</v>
      </c>
    </row>
    <row r="109" spans="1:18">
      <c r="A109" s="3" t="s">
        <v>24</v>
      </c>
      <c r="B109" s="3" t="s">
        <v>93</v>
      </c>
      <c r="C109" s="3" t="s">
        <v>135</v>
      </c>
      <c r="D109" s="6">
        <v>1.8251</v>
      </c>
      <c r="E109" s="6">
        <v>127.5725</v>
      </c>
      <c r="F109" s="6">
        <v>0</v>
      </c>
      <c r="G109" s="6">
        <v>0</v>
      </c>
      <c r="H109" s="6">
        <v>0</v>
      </c>
      <c r="I109" s="6">
        <v>39.0675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7">
        <f t="shared" si="3"/>
        <v>168.4651</v>
      </c>
    </row>
    <row r="110" spans="1:18">
      <c r="A110" s="3" t="s">
        <v>24</v>
      </c>
      <c r="B110" s="3" t="s">
        <v>93</v>
      </c>
      <c r="C110" s="3" t="s">
        <v>136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199.6065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7">
        <f t="shared" si="3"/>
        <v>199.6065</v>
      </c>
    </row>
    <row r="111" spans="1:18">
      <c r="A111" s="3" t="s">
        <v>24</v>
      </c>
      <c r="B111" s="3" t="s">
        <v>93</v>
      </c>
      <c r="C111" s="3" t="s">
        <v>137</v>
      </c>
      <c r="D111" s="6">
        <v>1.46</v>
      </c>
      <c r="E111" s="6">
        <v>788.8118</v>
      </c>
      <c r="F111" s="6">
        <v>0</v>
      </c>
      <c r="G111" s="6">
        <v>0</v>
      </c>
      <c r="H111" s="6">
        <v>0</v>
      </c>
      <c r="I111" s="6">
        <v>30825.2385</v>
      </c>
      <c r="J111" s="6">
        <v>6482.6006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7">
        <f t="shared" si="3"/>
        <v>38098.1109</v>
      </c>
    </row>
    <row r="112" spans="1:18">
      <c r="A112" s="3" t="s">
        <v>24</v>
      </c>
      <c r="B112" s="3" t="s">
        <v>93</v>
      </c>
      <c r="C112" s="3" t="s">
        <v>138</v>
      </c>
      <c r="D112" s="6">
        <v>4.1033</v>
      </c>
      <c r="E112" s="6">
        <v>0</v>
      </c>
      <c r="F112" s="6">
        <v>0</v>
      </c>
      <c r="G112" s="6">
        <v>0</v>
      </c>
      <c r="H112" s="6">
        <v>0</v>
      </c>
      <c r="I112" s="6">
        <v>73.626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7">
        <f t="shared" si="3"/>
        <v>77.7293</v>
      </c>
    </row>
    <row r="113" spans="1:18">
      <c r="A113" s="3" t="s">
        <v>24</v>
      </c>
      <c r="B113" s="3" t="s">
        <v>93</v>
      </c>
      <c r="C113" s="3" t="s">
        <v>139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2358.096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7">
        <f t="shared" si="3"/>
        <v>2358.096</v>
      </c>
    </row>
    <row r="114" spans="1:18">
      <c r="A114" s="3" t="s">
        <v>24</v>
      </c>
      <c r="B114" s="3" t="s">
        <v>93</v>
      </c>
      <c r="C114" s="3" t="s">
        <v>140</v>
      </c>
      <c r="D114" s="6">
        <v>0.4489</v>
      </c>
      <c r="E114" s="6">
        <v>0</v>
      </c>
      <c r="F114" s="6">
        <v>0</v>
      </c>
      <c r="G114" s="6">
        <v>0</v>
      </c>
      <c r="H114" s="6">
        <v>0</v>
      </c>
      <c r="I114" s="6">
        <v>25.8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7">
        <f t="shared" si="3"/>
        <v>26.2489</v>
      </c>
    </row>
    <row r="115" spans="1:18">
      <c r="A115" s="3" t="s">
        <v>24</v>
      </c>
      <c r="B115" s="3" t="s">
        <v>93</v>
      </c>
      <c r="C115" s="3" t="s">
        <v>141</v>
      </c>
      <c r="D115" s="6">
        <v>14.2307</v>
      </c>
      <c r="E115" s="6">
        <v>268.2</v>
      </c>
      <c r="F115" s="6">
        <v>0</v>
      </c>
      <c r="G115" s="6">
        <v>0</v>
      </c>
      <c r="H115" s="6">
        <v>0</v>
      </c>
      <c r="I115" s="6">
        <v>24100.1595</v>
      </c>
      <c r="J115" s="6">
        <v>14447.25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7">
        <f t="shared" si="3"/>
        <v>38829.8402</v>
      </c>
    </row>
    <row r="116" spans="1:18">
      <c r="A116" s="3" t="s">
        <v>24</v>
      </c>
      <c r="B116" s="3" t="s">
        <v>93</v>
      </c>
      <c r="C116" s="3" t="s">
        <v>142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7">
        <f t="shared" si="3"/>
        <v>0</v>
      </c>
    </row>
    <row r="117" spans="1:18">
      <c r="A117" s="3" t="s">
        <v>24</v>
      </c>
      <c r="B117" s="3" t="s">
        <v>93</v>
      </c>
      <c r="C117" s="3" t="s">
        <v>143</v>
      </c>
      <c r="D117" s="6">
        <v>3.0308</v>
      </c>
      <c r="E117" s="6">
        <v>44.941</v>
      </c>
      <c r="F117" s="6">
        <v>0</v>
      </c>
      <c r="G117" s="6">
        <v>0</v>
      </c>
      <c r="H117" s="6">
        <v>0</v>
      </c>
      <c r="I117" s="6">
        <v>1120.827</v>
      </c>
      <c r="J117" s="6">
        <v>15979.05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7">
        <f t="shared" si="3"/>
        <v>17147.8488</v>
      </c>
    </row>
    <row r="118" spans="1:18">
      <c r="A118" s="3" t="s">
        <v>24</v>
      </c>
      <c r="B118" s="3" t="s">
        <v>93</v>
      </c>
      <c r="C118" s="3" t="s">
        <v>144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11.6715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7">
        <f t="shared" si="3"/>
        <v>11.6715</v>
      </c>
    </row>
    <row r="119" spans="1:18">
      <c r="A119" s="3" t="s">
        <v>24</v>
      </c>
      <c r="B119" s="3" t="s">
        <v>93</v>
      </c>
      <c r="C119" s="3" t="s">
        <v>145</v>
      </c>
      <c r="D119" s="6">
        <v>9.3798</v>
      </c>
      <c r="E119" s="6">
        <v>247.968</v>
      </c>
      <c r="F119" s="6">
        <v>0</v>
      </c>
      <c r="G119" s="6">
        <v>0</v>
      </c>
      <c r="H119" s="6">
        <v>0</v>
      </c>
      <c r="I119" s="6">
        <v>2.7375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7">
        <f t="shared" si="3"/>
        <v>260.0853</v>
      </c>
    </row>
    <row r="120" spans="1:18">
      <c r="A120" s="3" t="s">
        <v>24</v>
      </c>
      <c r="B120" s="3" t="s">
        <v>93</v>
      </c>
      <c r="C120" s="3" t="s">
        <v>146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1171.242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7">
        <f t="shared" si="3"/>
        <v>1171.242</v>
      </c>
    </row>
    <row r="121" spans="1:18">
      <c r="A121" s="3" t="s">
        <v>24</v>
      </c>
      <c r="B121" s="3" t="s">
        <v>93</v>
      </c>
      <c r="C121" s="3" t="s">
        <v>147</v>
      </c>
      <c r="D121" s="6">
        <v>1.0249</v>
      </c>
      <c r="E121" s="6">
        <v>0</v>
      </c>
      <c r="F121" s="6">
        <v>0</v>
      </c>
      <c r="G121" s="6">
        <v>0</v>
      </c>
      <c r="H121" s="6">
        <v>0</v>
      </c>
      <c r="I121" s="6">
        <v>84.2505</v>
      </c>
      <c r="J121" s="6">
        <v>16886.5203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7">
        <f t="shared" si="3"/>
        <v>16971.7957</v>
      </c>
    </row>
    <row r="122" spans="1:18">
      <c r="A122" s="3" t="s">
        <v>24</v>
      </c>
      <c r="B122" s="3" t="s">
        <v>93</v>
      </c>
      <c r="C122" s="3" t="s">
        <v>148</v>
      </c>
      <c r="D122" s="6">
        <v>14.2776</v>
      </c>
      <c r="E122" s="6">
        <v>0</v>
      </c>
      <c r="F122" s="6">
        <v>0</v>
      </c>
      <c r="G122" s="6">
        <v>0</v>
      </c>
      <c r="H122" s="6">
        <v>0</v>
      </c>
      <c r="I122" s="6">
        <v>44951.853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7">
        <f t="shared" si="3"/>
        <v>44966.1306</v>
      </c>
    </row>
    <row r="123" spans="1:18">
      <c r="A123" s="3" t="s">
        <v>24</v>
      </c>
      <c r="B123" s="3" t="s">
        <v>93</v>
      </c>
      <c r="C123" s="3" t="s">
        <v>149</v>
      </c>
      <c r="D123" s="6">
        <v>49.4741</v>
      </c>
      <c r="E123" s="6">
        <v>238.3556</v>
      </c>
      <c r="F123" s="6">
        <v>0</v>
      </c>
      <c r="G123" s="6">
        <v>0</v>
      </c>
      <c r="H123" s="6">
        <v>0</v>
      </c>
      <c r="I123" s="6">
        <v>163166.196</v>
      </c>
      <c r="J123" s="6">
        <v>89089.3151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7">
        <f t="shared" si="3"/>
        <v>252543.3408</v>
      </c>
    </row>
    <row r="124" spans="1:18">
      <c r="A124" s="3" t="s">
        <v>24</v>
      </c>
      <c r="B124" s="3" t="s">
        <v>93</v>
      </c>
      <c r="C124" s="3" t="s">
        <v>150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19450.302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7">
        <f t="shared" si="3"/>
        <v>19450.302</v>
      </c>
    </row>
    <row r="125" spans="1:18">
      <c r="A125" s="3" t="s">
        <v>24</v>
      </c>
      <c r="B125" s="3" t="s">
        <v>93</v>
      </c>
      <c r="C125" s="3" t="s">
        <v>151</v>
      </c>
      <c r="D125" s="6">
        <v>4.7129</v>
      </c>
      <c r="E125" s="6">
        <v>32.76</v>
      </c>
      <c r="F125" s="6">
        <v>0</v>
      </c>
      <c r="G125" s="6">
        <v>0</v>
      </c>
      <c r="H125" s="6">
        <v>0</v>
      </c>
      <c r="I125" s="6">
        <v>99.696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7">
        <f t="shared" si="3"/>
        <v>137.1689</v>
      </c>
    </row>
    <row r="126" spans="1:18">
      <c r="A126" s="3" t="s">
        <v>24</v>
      </c>
      <c r="B126" s="3" t="s">
        <v>93</v>
      </c>
      <c r="C126" s="3" t="s">
        <v>152</v>
      </c>
      <c r="D126" s="6">
        <v>2.1833</v>
      </c>
      <c r="E126" s="6">
        <v>76.032</v>
      </c>
      <c r="F126" s="6">
        <v>0</v>
      </c>
      <c r="G126" s="6">
        <v>0</v>
      </c>
      <c r="H126" s="6">
        <v>0</v>
      </c>
      <c r="I126" s="6">
        <v>20.907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7">
        <f t="shared" si="3"/>
        <v>99.1223</v>
      </c>
    </row>
    <row r="127" spans="1:18">
      <c r="A127" s="3" t="s">
        <v>24</v>
      </c>
      <c r="B127" s="3" t="s">
        <v>93</v>
      </c>
      <c r="C127" s="3" t="s">
        <v>153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188.2545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7">
        <f t="shared" si="3"/>
        <v>188.2545</v>
      </c>
    </row>
    <row r="128" spans="1:18">
      <c r="A128" s="3" t="s">
        <v>24</v>
      </c>
      <c r="B128" s="3" t="s">
        <v>93</v>
      </c>
      <c r="C128" s="3" t="s">
        <v>154</v>
      </c>
      <c r="D128" s="6">
        <v>1.5931</v>
      </c>
      <c r="E128" s="6">
        <v>0</v>
      </c>
      <c r="F128" s="6">
        <v>0</v>
      </c>
      <c r="G128" s="6">
        <v>0</v>
      </c>
      <c r="H128" s="6">
        <v>0</v>
      </c>
      <c r="I128" s="6">
        <v>10881.036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7">
        <f t="shared" si="3"/>
        <v>10882.6291</v>
      </c>
    </row>
    <row r="129" spans="1:18">
      <c r="A129" s="3" t="s">
        <v>24</v>
      </c>
      <c r="B129" s="3" t="s">
        <v>93</v>
      </c>
      <c r="C129" s="3" t="s">
        <v>155</v>
      </c>
      <c r="D129" s="6">
        <v>4.3751</v>
      </c>
      <c r="E129" s="6">
        <v>0</v>
      </c>
      <c r="F129" s="6">
        <v>0</v>
      </c>
      <c r="G129" s="6">
        <v>0</v>
      </c>
      <c r="H129" s="6">
        <v>0</v>
      </c>
      <c r="I129" s="6">
        <v>10.545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7">
        <f t="shared" si="3"/>
        <v>14.9201</v>
      </c>
    </row>
    <row r="130" spans="1:18">
      <c r="A130" s="3" t="s">
        <v>24</v>
      </c>
      <c r="B130" s="3" t="s">
        <v>93</v>
      </c>
      <c r="C130" s="3" t="s">
        <v>156</v>
      </c>
      <c r="D130" s="6">
        <v>3.3283</v>
      </c>
      <c r="E130" s="6">
        <v>0</v>
      </c>
      <c r="F130" s="6">
        <v>0</v>
      </c>
      <c r="G130" s="6">
        <v>0</v>
      </c>
      <c r="H130" s="6">
        <v>0</v>
      </c>
      <c r="I130" s="6">
        <v>1.6035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7">
        <f t="shared" si="3"/>
        <v>4.9318</v>
      </c>
    </row>
    <row r="131" spans="1:18">
      <c r="A131" s="3" t="s">
        <v>24</v>
      </c>
      <c r="B131" s="3" t="s">
        <v>93</v>
      </c>
      <c r="C131" s="3" t="s">
        <v>157</v>
      </c>
      <c r="D131" s="6">
        <v>7.3415</v>
      </c>
      <c r="E131" s="6">
        <v>140.4</v>
      </c>
      <c r="F131" s="6">
        <v>0</v>
      </c>
      <c r="G131" s="6">
        <v>0</v>
      </c>
      <c r="H131" s="6">
        <v>0</v>
      </c>
      <c r="I131" s="6">
        <v>2.727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7">
        <f t="shared" si="3"/>
        <v>150.4685</v>
      </c>
    </row>
    <row r="132" spans="1:18">
      <c r="A132" s="3" t="s">
        <v>24</v>
      </c>
      <c r="B132" s="3" t="s">
        <v>93</v>
      </c>
      <c r="C132" s="3" t="s">
        <v>158</v>
      </c>
      <c r="D132" s="6">
        <v>5.4641</v>
      </c>
      <c r="E132" s="6">
        <v>77.112</v>
      </c>
      <c r="F132" s="6">
        <v>0</v>
      </c>
      <c r="G132" s="6">
        <v>0</v>
      </c>
      <c r="H132" s="6">
        <v>0</v>
      </c>
      <c r="I132" s="6">
        <v>0.8565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7">
        <f t="shared" si="3"/>
        <v>83.4326</v>
      </c>
    </row>
    <row r="133" spans="1:18">
      <c r="A133" s="3" t="s">
        <v>24</v>
      </c>
      <c r="B133" s="3" t="s">
        <v>93</v>
      </c>
      <c r="C133" s="3" t="s">
        <v>159</v>
      </c>
      <c r="D133" s="6">
        <v>0</v>
      </c>
      <c r="E133" s="6">
        <v>43.164</v>
      </c>
      <c r="F133" s="6">
        <v>0</v>
      </c>
      <c r="G133" s="6">
        <v>0</v>
      </c>
      <c r="H133" s="6">
        <v>0</v>
      </c>
      <c r="I133" s="6">
        <v>0.0255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7">
        <f t="shared" si="3"/>
        <v>43.1895</v>
      </c>
    </row>
    <row r="134" spans="1:18">
      <c r="A134" s="3" t="s">
        <v>24</v>
      </c>
      <c r="B134" s="3" t="s">
        <v>93</v>
      </c>
      <c r="C134" s="3" t="s">
        <v>160</v>
      </c>
      <c r="D134" s="6">
        <v>4.0328</v>
      </c>
      <c r="E134" s="6">
        <v>0</v>
      </c>
      <c r="F134" s="6">
        <v>0</v>
      </c>
      <c r="G134" s="6">
        <v>0</v>
      </c>
      <c r="H134" s="6">
        <v>0</v>
      </c>
      <c r="I134" s="6">
        <v>462.9075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7">
        <f t="shared" ref="R134:R170" si="4">SUM(D134:Q134)</f>
        <v>466.9403</v>
      </c>
    </row>
    <row r="135" spans="1:18">
      <c r="A135" s="3" t="s">
        <v>24</v>
      </c>
      <c r="B135" s="3" t="s">
        <v>93</v>
      </c>
      <c r="C135" s="3" t="s">
        <v>161</v>
      </c>
      <c r="D135" s="6">
        <v>2.6039</v>
      </c>
      <c r="E135" s="6">
        <v>0</v>
      </c>
      <c r="F135" s="6">
        <v>0</v>
      </c>
      <c r="G135" s="6">
        <v>0</v>
      </c>
      <c r="H135" s="6">
        <v>0</v>
      </c>
      <c r="I135" s="6">
        <v>29473.2945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7">
        <f t="shared" si="4"/>
        <v>29475.8984</v>
      </c>
    </row>
    <row r="136" spans="1:18">
      <c r="A136" s="3" t="s">
        <v>24</v>
      </c>
      <c r="B136" s="3" t="s">
        <v>93</v>
      </c>
      <c r="C136" s="3" t="s">
        <v>162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153.225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7">
        <f t="shared" si="4"/>
        <v>153.225</v>
      </c>
    </row>
    <row r="137" spans="1:18">
      <c r="A137" s="3" t="s">
        <v>24</v>
      </c>
      <c r="B137" s="3" t="s">
        <v>93</v>
      </c>
      <c r="C137" s="3" t="s">
        <v>163</v>
      </c>
      <c r="D137" s="6">
        <v>10.7387</v>
      </c>
      <c r="E137" s="6">
        <v>585.9</v>
      </c>
      <c r="F137" s="6">
        <v>0</v>
      </c>
      <c r="G137" s="6">
        <v>0</v>
      </c>
      <c r="H137" s="6">
        <v>0</v>
      </c>
      <c r="I137" s="6">
        <v>682.671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7">
        <f t="shared" si="4"/>
        <v>1279.3097</v>
      </c>
    </row>
    <row r="138" spans="1:18">
      <c r="A138" s="3" t="s">
        <v>24</v>
      </c>
      <c r="B138" s="3" t="s">
        <v>93</v>
      </c>
      <c r="C138" s="3" t="s">
        <v>164</v>
      </c>
      <c r="D138" s="6">
        <v>8.2606</v>
      </c>
      <c r="E138" s="6">
        <v>102.8768</v>
      </c>
      <c r="F138" s="6">
        <v>0</v>
      </c>
      <c r="G138" s="6">
        <v>0</v>
      </c>
      <c r="H138" s="6">
        <v>0</v>
      </c>
      <c r="I138" s="6">
        <v>1876.7655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7">
        <f t="shared" si="4"/>
        <v>1987.9029</v>
      </c>
    </row>
    <row r="139" spans="1:18">
      <c r="A139" s="3" t="s">
        <v>24</v>
      </c>
      <c r="B139" s="3" t="s">
        <v>93</v>
      </c>
      <c r="C139" s="3" t="s">
        <v>165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1231.788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7">
        <f t="shared" si="4"/>
        <v>1231.788</v>
      </c>
    </row>
    <row r="140" spans="1:18">
      <c r="A140" s="3" t="s">
        <v>24</v>
      </c>
      <c r="B140" s="3" t="s">
        <v>93</v>
      </c>
      <c r="C140" s="3" t="s">
        <v>166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2441.049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7">
        <f t="shared" si="4"/>
        <v>2441.049</v>
      </c>
    </row>
    <row r="141" spans="1:18">
      <c r="A141" s="3" t="s">
        <v>24</v>
      </c>
      <c r="B141" s="3" t="s">
        <v>93</v>
      </c>
      <c r="C141" s="3" t="s">
        <v>167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11057.406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7">
        <f t="shared" si="4"/>
        <v>11057.406</v>
      </c>
    </row>
    <row r="142" spans="1:18">
      <c r="A142" s="3" t="s">
        <v>24</v>
      </c>
      <c r="B142" s="3" t="s">
        <v>93</v>
      </c>
      <c r="C142" s="3" t="s">
        <v>168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908.958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7">
        <f t="shared" si="4"/>
        <v>908.958</v>
      </c>
    </row>
    <row r="143" spans="1:18">
      <c r="A143" s="3" t="s">
        <v>24</v>
      </c>
      <c r="B143" s="3" t="s">
        <v>93</v>
      </c>
      <c r="C143" s="3" t="s">
        <v>169</v>
      </c>
      <c r="D143" s="6">
        <v>3.2413</v>
      </c>
      <c r="E143" s="6">
        <v>0</v>
      </c>
      <c r="F143" s="6">
        <v>0</v>
      </c>
      <c r="G143" s="6">
        <v>0</v>
      </c>
      <c r="H143" s="6">
        <v>0</v>
      </c>
      <c r="I143" s="6">
        <v>623.1675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7">
        <f t="shared" si="4"/>
        <v>626.4088</v>
      </c>
    </row>
    <row r="144" spans="1:18">
      <c r="A144" s="3" t="s">
        <v>24</v>
      </c>
      <c r="B144" s="3" t="s">
        <v>93</v>
      </c>
      <c r="C144" s="3" t="s">
        <v>170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500.4225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7">
        <f t="shared" si="4"/>
        <v>500.4225</v>
      </c>
    </row>
    <row r="145" spans="1:18">
      <c r="A145" s="3" t="s">
        <v>24</v>
      </c>
      <c r="B145" s="3" t="s">
        <v>93</v>
      </c>
      <c r="C145" s="3" t="s">
        <v>171</v>
      </c>
      <c r="D145" s="6">
        <v>17.8315</v>
      </c>
      <c r="E145" s="6">
        <v>66.515</v>
      </c>
      <c r="F145" s="6">
        <v>0</v>
      </c>
      <c r="G145" s="6">
        <v>0</v>
      </c>
      <c r="H145" s="6">
        <v>0</v>
      </c>
      <c r="I145" s="6">
        <v>3158.955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7">
        <f t="shared" si="4"/>
        <v>3243.3015</v>
      </c>
    </row>
    <row r="146" spans="1:18">
      <c r="A146" s="3" t="s">
        <v>24</v>
      </c>
      <c r="B146" s="3" t="s">
        <v>93</v>
      </c>
      <c r="C146" s="3" t="s">
        <v>172</v>
      </c>
      <c r="D146" s="6">
        <v>4.0466</v>
      </c>
      <c r="E146" s="6">
        <v>49.32</v>
      </c>
      <c r="F146" s="6">
        <v>0</v>
      </c>
      <c r="G146" s="6">
        <v>0</v>
      </c>
      <c r="H146" s="6">
        <v>0</v>
      </c>
      <c r="I146" s="6">
        <v>405.0075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7">
        <f t="shared" si="4"/>
        <v>458.3741</v>
      </c>
    </row>
    <row r="147" spans="1:18">
      <c r="A147" s="3" t="s">
        <v>24</v>
      </c>
      <c r="B147" s="3" t="s">
        <v>93</v>
      </c>
      <c r="C147" s="3" t="s">
        <v>173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316.1715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7">
        <f t="shared" si="4"/>
        <v>316.1715</v>
      </c>
    </row>
    <row r="148" spans="1:18">
      <c r="A148" s="3" t="s">
        <v>24</v>
      </c>
      <c r="B148" s="3" t="s">
        <v>93</v>
      </c>
      <c r="C148" s="3" t="s">
        <v>174</v>
      </c>
      <c r="D148" s="6">
        <v>5.9492</v>
      </c>
      <c r="E148" s="6">
        <v>111.5856</v>
      </c>
      <c r="F148" s="6">
        <v>0</v>
      </c>
      <c r="G148" s="6">
        <v>0</v>
      </c>
      <c r="H148" s="6">
        <v>0</v>
      </c>
      <c r="I148" s="6">
        <v>759.0435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7">
        <f t="shared" si="4"/>
        <v>876.5783</v>
      </c>
    </row>
    <row r="149" spans="1:18">
      <c r="A149" s="3" t="s">
        <v>24</v>
      </c>
      <c r="B149" s="3" t="s">
        <v>93</v>
      </c>
      <c r="C149" s="3" t="s">
        <v>175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2119.6665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7">
        <f t="shared" si="4"/>
        <v>2119.6665</v>
      </c>
    </row>
    <row r="150" spans="1:18">
      <c r="A150" s="3" t="s">
        <v>24</v>
      </c>
      <c r="B150" s="3" t="s">
        <v>93</v>
      </c>
      <c r="C150" s="3" t="s">
        <v>176</v>
      </c>
      <c r="D150" s="6">
        <v>2.3552</v>
      </c>
      <c r="E150" s="6">
        <v>74.7432</v>
      </c>
      <c r="F150" s="6">
        <v>0</v>
      </c>
      <c r="G150" s="6">
        <v>0</v>
      </c>
      <c r="H150" s="6">
        <v>0</v>
      </c>
      <c r="I150" s="6">
        <v>333.453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7">
        <f t="shared" si="4"/>
        <v>410.5514</v>
      </c>
    </row>
    <row r="151" spans="1:18">
      <c r="A151" s="3" t="s">
        <v>24</v>
      </c>
      <c r="B151" s="3" t="s">
        <v>93</v>
      </c>
      <c r="C151" s="3" t="s">
        <v>177</v>
      </c>
      <c r="D151" s="6">
        <v>6.8947</v>
      </c>
      <c r="E151" s="6">
        <v>63</v>
      </c>
      <c r="F151" s="6">
        <v>0</v>
      </c>
      <c r="G151" s="6">
        <v>0</v>
      </c>
      <c r="H151" s="6">
        <v>0</v>
      </c>
      <c r="I151" s="6">
        <v>169.491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7">
        <f t="shared" si="4"/>
        <v>239.3857</v>
      </c>
    </row>
    <row r="152" spans="1:18">
      <c r="A152" s="3" t="s">
        <v>24</v>
      </c>
      <c r="B152" s="3" t="s">
        <v>178</v>
      </c>
      <c r="C152" s="3" t="s">
        <v>179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4168.8435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7">
        <f t="shared" si="4"/>
        <v>4168.8435</v>
      </c>
    </row>
    <row r="153" spans="1:18">
      <c r="A153" s="3" t="s">
        <v>24</v>
      </c>
      <c r="B153" s="3" t="s">
        <v>178</v>
      </c>
      <c r="C153" s="3" t="s">
        <v>180</v>
      </c>
      <c r="D153" s="6">
        <v>0</v>
      </c>
      <c r="E153" s="6">
        <v>63.504</v>
      </c>
      <c r="F153" s="6">
        <v>0</v>
      </c>
      <c r="G153" s="6">
        <v>0</v>
      </c>
      <c r="H153" s="6">
        <v>0</v>
      </c>
      <c r="I153" s="6">
        <v>12330.807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7">
        <f t="shared" si="4"/>
        <v>12394.311</v>
      </c>
    </row>
    <row r="154" spans="1:18">
      <c r="A154" s="3" t="s">
        <v>24</v>
      </c>
      <c r="B154" s="3" t="s">
        <v>178</v>
      </c>
      <c r="C154" s="3" t="s">
        <v>181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368.4075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7">
        <f t="shared" si="4"/>
        <v>368.4075</v>
      </c>
    </row>
    <row r="155" spans="1:18">
      <c r="A155" s="3" t="s">
        <v>24</v>
      </c>
      <c r="B155" s="3" t="s">
        <v>178</v>
      </c>
      <c r="C155" s="3" t="s">
        <v>182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204.1485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7">
        <f t="shared" si="4"/>
        <v>204.1485</v>
      </c>
    </row>
    <row r="156" spans="1:18">
      <c r="A156" s="3" t="s">
        <v>24</v>
      </c>
      <c r="B156" s="3" t="s">
        <v>178</v>
      </c>
      <c r="C156" s="3" t="s">
        <v>183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1830.606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7">
        <f t="shared" si="4"/>
        <v>1830.606</v>
      </c>
    </row>
    <row r="157" spans="1:18">
      <c r="A157" s="3" t="s">
        <v>24</v>
      </c>
      <c r="B157" s="3" t="s">
        <v>178</v>
      </c>
      <c r="C157" s="3" t="s">
        <v>184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321603.8565</v>
      </c>
      <c r="J157" s="6">
        <v>65869.56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7">
        <f t="shared" si="4"/>
        <v>387473.4165</v>
      </c>
    </row>
    <row r="158" spans="1:18">
      <c r="A158" s="3" t="s">
        <v>24</v>
      </c>
      <c r="B158" s="3" t="s">
        <v>178</v>
      </c>
      <c r="C158" s="3" t="s">
        <v>185</v>
      </c>
      <c r="D158" s="6">
        <v>0</v>
      </c>
      <c r="E158" s="6">
        <v>75.6</v>
      </c>
      <c r="F158" s="6">
        <v>0</v>
      </c>
      <c r="G158" s="6">
        <v>0</v>
      </c>
      <c r="H158" s="6">
        <v>0</v>
      </c>
      <c r="I158" s="6">
        <v>223759.0425</v>
      </c>
      <c r="J158" s="6">
        <v>81435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7">
        <f t="shared" si="4"/>
        <v>305269.6425</v>
      </c>
    </row>
    <row r="159" spans="1:18">
      <c r="A159" s="3" t="s">
        <v>24</v>
      </c>
      <c r="B159" s="3" t="s">
        <v>178</v>
      </c>
      <c r="C159" s="3" t="s">
        <v>186</v>
      </c>
      <c r="D159" s="6">
        <v>0</v>
      </c>
      <c r="E159" s="6">
        <v>12.096</v>
      </c>
      <c r="F159" s="6">
        <v>0</v>
      </c>
      <c r="G159" s="6">
        <v>0</v>
      </c>
      <c r="H159" s="6">
        <v>0</v>
      </c>
      <c r="I159" s="6">
        <v>97642.86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7">
        <f t="shared" si="4"/>
        <v>97654.956</v>
      </c>
    </row>
    <row r="160" spans="1:18">
      <c r="A160" s="3" t="s">
        <v>24</v>
      </c>
      <c r="B160" s="3" t="s">
        <v>178</v>
      </c>
      <c r="C160" s="3" t="s">
        <v>187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10.5255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7">
        <f t="shared" si="4"/>
        <v>10.5255</v>
      </c>
    </row>
    <row r="161" spans="1:18">
      <c r="A161" s="3" t="s">
        <v>24</v>
      </c>
      <c r="B161" s="3" t="s">
        <v>178</v>
      </c>
      <c r="C161" s="3" t="s">
        <v>188</v>
      </c>
      <c r="D161" s="6">
        <v>0</v>
      </c>
      <c r="E161" s="6">
        <v>8.64</v>
      </c>
      <c r="F161" s="6">
        <v>0</v>
      </c>
      <c r="G161" s="6">
        <v>0</v>
      </c>
      <c r="H161" s="6">
        <v>0</v>
      </c>
      <c r="I161" s="6">
        <v>806009.2095</v>
      </c>
      <c r="J161" s="6">
        <v>234282.261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7">
        <f t="shared" si="4"/>
        <v>1040300.1105</v>
      </c>
    </row>
    <row r="162" spans="1:18">
      <c r="A162" s="3" t="s">
        <v>24</v>
      </c>
      <c r="B162" s="3" t="s">
        <v>178</v>
      </c>
      <c r="C162" s="3" t="s">
        <v>189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1671.252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7">
        <f t="shared" si="4"/>
        <v>1671.252</v>
      </c>
    </row>
    <row r="163" spans="1:18">
      <c r="A163" s="3" t="s">
        <v>24</v>
      </c>
      <c r="B163" s="3" t="s">
        <v>178</v>
      </c>
      <c r="C163" s="3" t="s">
        <v>190</v>
      </c>
      <c r="D163" s="6">
        <v>0</v>
      </c>
      <c r="E163" s="6">
        <v>21.6</v>
      </c>
      <c r="F163" s="6">
        <v>0</v>
      </c>
      <c r="G163" s="6">
        <v>0</v>
      </c>
      <c r="H163" s="6">
        <v>0</v>
      </c>
      <c r="I163" s="6">
        <v>127463.9505</v>
      </c>
      <c r="J163" s="6">
        <v>77663.22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7">
        <f t="shared" si="4"/>
        <v>205148.7705</v>
      </c>
    </row>
    <row r="164" spans="1:18">
      <c r="A164" s="3" t="s">
        <v>24</v>
      </c>
      <c r="B164" s="3" t="s">
        <v>178</v>
      </c>
      <c r="C164" s="3" t="s">
        <v>191</v>
      </c>
      <c r="D164" s="6">
        <v>0</v>
      </c>
      <c r="E164" s="6">
        <v>47.43</v>
      </c>
      <c r="F164" s="6">
        <v>0</v>
      </c>
      <c r="G164" s="6">
        <v>0</v>
      </c>
      <c r="H164" s="6">
        <v>0</v>
      </c>
      <c r="I164" s="6">
        <v>272945.613</v>
      </c>
      <c r="J164" s="6">
        <v>127576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7">
        <f t="shared" si="4"/>
        <v>400569.043</v>
      </c>
    </row>
    <row r="165" spans="1:18">
      <c r="A165" s="3" t="s">
        <v>24</v>
      </c>
      <c r="B165" s="3" t="s">
        <v>178</v>
      </c>
      <c r="C165" s="3" t="s">
        <v>192</v>
      </c>
      <c r="D165" s="6">
        <v>0</v>
      </c>
      <c r="E165" s="6">
        <v>1536.768</v>
      </c>
      <c r="F165" s="6">
        <v>0</v>
      </c>
      <c r="G165" s="6">
        <v>0</v>
      </c>
      <c r="H165" s="6">
        <v>0</v>
      </c>
      <c r="I165" s="6">
        <v>240394.2885</v>
      </c>
      <c r="J165" s="6">
        <v>77802.72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7">
        <f t="shared" si="4"/>
        <v>319733.7765</v>
      </c>
    </row>
    <row r="166" spans="1:18">
      <c r="A166" s="3" t="s">
        <v>24</v>
      </c>
      <c r="B166" s="3" t="s">
        <v>178</v>
      </c>
      <c r="C166" s="3" t="s">
        <v>193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3126.288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7">
        <f t="shared" si="4"/>
        <v>3126.288</v>
      </c>
    </row>
    <row r="167" spans="1:18">
      <c r="A167" s="3" t="s">
        <v>24</v>
      </c>
      <c r="B167" s="3" t="s">
        <v>178</v>
      </c>
      <c r="C167" s="3" t="s">
        <v>194</v>
      </c>
      <c r="D167" s="6">
        <v>0</v>
      </c>
      <c r="E167" s="6">
        <v>590.364</v>
      </c>
      <c r="F167" s="6">
        <v>0</v>
      </c>
      <c r="G167" s="6">
        <v>0</v>
      </c>
      <c r="H167" s="6">
        <v>0</v>
      </c>
      <c r="I167" s="6">
        <v>190238.844</v>
      </c>
      <c r="J167" s="6">
        <v>219737.95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7">
        <f t="shared" si="4"/>
        <v>410567.158</v>
      </c>
    </row>
    <row r="168" spans="1:18">
      <c r="A168" s="3" t="s">
        <v>24</v>
      </c>
      <c r="B168" s="3" t="s">
        <v>178</v>
      </c>
      <c r="C168" s="3" t="s">
        <v>195</v>
      </c>
      <c r="D168" s="6">
        <v>0</v>
      </c>
      <c r="E168" s="6">
        <v>34.272</v>
      </c>
      <c r="F168" s="6">
        <v>0</v>
      </c>
      <c r="G168" s="6">
        <v>0</v>
      </c>
      <c r="H168" s="6">
        <v>0</v>
      </c>
      <c r="I168" s="6">
        <v>255637.5375</v>
      </c>
      <c r="J168" s="6">
        <v>99419.4</v>
      </c>
      <c r="K168" s="6"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7">
        <f t="shared" si="4"/>
        <v>355091.2095</v>
      </c>
    </row>
    <row r="169" spans="1:18">
      <c r="A169" s="3" t="s">
        <v>24</v>
      </c>
      <c r="B169" s="3" t="s">
        <v>178</v>
      </c>
      <c r="C169" s="3" t="s">
        <v>196</v>
      </c>
      <c r="D169" s="6">
        <v>0</v>
      </c>
      <c r="E169" s="6">
        <v>60.8256</v>
      </c>
      <c r="F169" s="6">
        <v>0</v>
      </c>
      <c r="G169" s="6">
        <v>0</v>
      </c>
      <c r="H169" s="6">
        <v>0</v>
      </c>
      <c r="I169" s="6">
        <v>582357.5925</v>
      </c>
      <c r="J169" s="6">
        <v>137738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7">
        <f t="shared" si="4"/>
        <v>720156.4181</v>
      </c>
    </row>
    <row r="170" spans="1:18">
      <c r="A170" s="3" t="s">
        <v>24</v>
      </c>
      <c r="B170" s="3" t="s">
        <v>178</v>
      </c>
      <c r="C170" s="3" t="s">
        <v>197</v>
      </c>
      <c r="D170" s="6">
        <v>0</v>
      </c>
      <c r="E170" s="6">
        <v>106.92</v>
      </c>
      <c r="F170" s="6">
        <v>0</v>
      </c>
      <c r="G170" s="6">
        <v>0</v>
      </c>
      <c r="H170" s="6">
        <v>0</v>
      </c>
      <c r="I170" s="6">
        <v>4114.533</v>
      </c>
      <c r="J170" s="6">
        <v>60598.5525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7">
        <f t="shared" si="4"/>
        <v>64820.0055</v>
      </c>
    </row>
    <row r="171" spans="1:18">
      <c r="A171" s="3" t="s">
        <v>24</v>
      </c>
      <c r="B171" s="8" t="s">
        <v>198</v>
      </c>
      <c r="C171" s="3" t="s">
        <v>199</v>
      </c>
      <c r="D171" s="6">
        <v>0.2027</v>
      </c>
      <c r="E171" s="6">
        <v>0</v>
      </c>
      <c r="F171" s="6">
        <v>0</v>
      </c>
      <c r="G171" s="6">
        <v>0</v>
      </c>
      <c r="H171" s="6">
        <v>0</v>
      </c>
      <c r="I171" s="6">
        <v>0.3465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7">
        <f t="shared" ref="R171:R183" si="5">SUM(D171:Q171)</f>
        <v>0.5492</v>
      </c>
    </row>
    <row r="172" spans="1:18">
      <c r="A172" s="3" t="s">
        <v>24</v>
      </c>
      <c r="B172" s="8" t="s">
        <v>198</v>
      </c>
      <c r="C172" s="3" t="s">
        <v>200</v>
      </c>
      <c r="D172" s="6">
        <v>0.4705</v>
      </c>
      <c r="E172" s="6">
        <v>0</v>
      </c>
      <c r="F172" s="6">
        <v>0</v>
      </c>
      <c r="G172" s="6">
        <v>0</v>
      </c>
      <c r="H172" s="6">
        <v>0</v>
      </c>
      <c r="I172" s="6">
        <v>5.232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7">
        <f t="shared" si="5"/>
        <v>5.7025</v>
      </c>
    </row>
    <row r="173" spans="1:18">
      <c r="A173" s="3" t="s">
        <v>24</v>
      </c>
      <c r="B173" s="8" t="s">
        <v>198</v>
      </c>
      <c r="C173" s="3" t="s">
        <v>201</v>
      </c>
      <c r="D173" s="6">
        <v>3.4561</v>
      </c>
      <c r="E173" s="6">
        <v>0</v>
      </c>
      <c r="F173" s="6">
        <v>0</v>
      </c>
      <c r="G173" s="6">
        <v>0</v>
      </c>
      <c r="H173" s="6">
        <v>0</v>
      </c>
      <c r="I173" s="6">
        <v>0.051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7">
        <f t="shared" si="5"/>
        <v>3.5071</v>
      </c>
    </row>
    <row r="174" spans="1:18">
      <c r="A174" s="3" t="s">
        <v>24</v>
      </c>
      <c r="B174" s="8" t="s">
        <v>198</v>
      </c>
      <c r="C174" s="3" t="s">
        <v>202</v>
      </c>
      <c r="D174" s="6">
        <v>15.007</v>
      </c>
      <c r="E174" s="6">
        <v>0</v>
      </c>
      <c r="F174" s="6">
        <v>0</v>
      </c>
      <c r="G174" s="6">
        <v>0</v>
      </c>
      <c r="H174" s="6">
        <v>0</v>
      </c>
      <c r="I174" s="6">
        <v>28.2555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7">
        <f t="shared" si="5"/>
        <v>43.2625</v>
      </c>
    </row>
    <row r="175" spans="1:18">
      <c r="A175" s="3" t="s">
        <v>24</v>
      </c>
      <c r="B175" s="8" t="s">
        <v>198</v>
      </c>
      <c r="C175" s="3" t="s">
        <v>203</v>
      </c>
      <c r="D175" s="6">
        <v>8.0588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7">
        <f t="shared" si="5"/>
        <v>8.0588</v>
      </c>
    </row>
    <row r="176" spans="1:18">
      <c r="A176" s="3" t="s">
        <v>24</v>
      </c>
      <c r="B176" s="8" t="s">
        <v>198</v>
      </c>
      <c r="C176" s="3" t="s">
        <v>204</v>
      </c>
      <c r="D176" s="6">
        <v>2.4667</v>
      </c>
      <c r="E176" s="6">
        <v>0</v>
      </c>
      <c r="F176" s="6">
        <v>0</v>
      </c>
      <c r="G176" s="6">
        <v>0</v>
      </c>
      <c r="H176" s="6">
        <v>0</v>
      </c>
      <c r="I176" s="6">
        <v>38.061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7">
        <f t="shared" si="5"/>
        <v>40.5277</v>
      </c>
    </row>
    <row r="177" spans="1:18">
      <c r="A177" s="3" t="s">
        <v>24</v>
      </c>
      <c r="B177" s="8" t="s">
        <v>198</v>
      </c>
      <c r="C177" s="3" t="s">
        <v>205</v>
      </c>
      <c r="D177" s="6">
        <v>7.0681</v>
      </c>
      <c r="E177" s="6">
        <v>0</v>
      </c>
      <c r="F177" s="6">
        <v>0</v>
      </c>
      <c r="G177" s="6">
        <v>0</v>
      </c>
      <c r="H177" s="6">
        <v>0</v>
      </c>
      <c r="I177" s="6">
        <v>20.508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7">
        <f t="shared" si="5"/>
        <v>27.5761</v>
      </c>
    </row>
    <row r="178" spans="1:18">
      <c r="A178" s="3" t="s">
        <v>24</v>
      </c>
      <c r="B178" s="8" t="s">
        <v>198</v>
      </c>
      <c r="C178" s="3" t="s">
        <v>206</v>
      </c>
      <c r="D178" s="6">
        <v>6.5876</v>
      </c>
      <c r="E178" s="6">
        <v>0</v>
      </c>
      <c r="F178" s="6">
        <v>0</v>
      </c>
      <c r="G178" s="6">
        <v>0</v>
      </c>
      <c r="H178" s="6">
        <v>0</v>
      </c>
      <c r="I178" s="6">
        <v>20.325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7">
        <f t="shared" si="5"/>
        <v>26.9126</v>
      </c>
    </row>
    <row r="179" spans="1:18">
      <c r="A179" s="3" t="s">
        <v>24</v>
      </c>
      <c r="B179" s="8" t="s">
        <v>198</v>
      </c>
      <c r="C179" s="3" t="s">
        <v>207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61.977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7">
        <f t="shared" si="5"/>
        <v>61.977</v>
      </c>
    </row>
    <row r="180" spans="1:18">
      <c r="A180" s="3" t="s">
        <v>24</v>
      </c>
      <c r="B180" s="8" t="s">
        <v>198</v>
      </c>
      <c r="C180" s="3" t="s">
        <v>208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1.4475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7">
        <f t="shared" si="5"/>
        <v>1.4475</v>
      </c>
    </row>
    <row r="181" spans="1:18">
      <c r="A181" s="3" t="s">
        <v>24</v>
      </c>
      <c r="B181" s="8" t="s">
        <v>198</v>
      </c>
      <c r="C181" s="3" t="s">
        <v>209</v>
      </c>
      <c r="D181" s="6">
        <v>5.6368</v>
      </c>
      <c r="E181" s="6">
        <v>0</v>
      </c>
      <c r="F181" s="6">
        <v>0</v>
      </c>
      <c r="G181" s="6">
        <v>0</v>
      </c>
      <c r="H181" s="6">
        <v>0</v>
      </c>
      <c r="I181" s="6">
        <v>0.0405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7">
        <f t="shared" si="5"/>
        <v>5.6773</v>
      </c>
    </row>
    <row r="182" spans="1:18">
      <c r="A182" s="3" t="s">
        <v>24</v>
      </c>
      <c r="B182" s="8" t="s">
        <v>198</v>
      </c>
      <c r="C182" s="3" t="s">
        <v>210</v>
      </c>
      <c r="D182" s="6">
        <v>1.6276</v>
      </c>
      <c r="E182" s="6">
        <v>0</v>
      </c>
      <c r="F182" s="6">
        <v>0</v>
      </c>
      <c r="G182" s="6">
        <v>0</v>
      </c>
      <c r="H182" s="6">
        <v>0</v>
      </c>
      <c r="I182" s="6">
        <v>13.596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7">
        <f t="shared" si="5"/>
        <v>15.2236</v>
      </c>
    </row>
    <row r="183" spans="1:18">
      <c r="A183" s="3" t="s">
        <v>24</v>
      </c>
      <c r="B183" s="8" t="s">
        <v>198</v>
      </c>
      <c r="C183" s="3" t="s">
        <v>211</v>
      </c>
      <c r="D183" s="6">
        <v>11.4308</v>
      </c>
      <c r="E183" s="6">
        <v>0</v>
      </c>
      <c r="F183" s="6">
        <v>0</v>
      </c>
      <c r="G183" s="6">
        <v>0</v>
      </c>
      <c r="H183" s="6">
        <v>0</v>
      </c>
      <c r="I183" s="6">
        <v>14.169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7">
        <f t="shared" si="5"/>
        <v>25.5998</v>
      </c>
    </row>
    <row r="184" spans="1:18">
      <c r="A184" s="3" t="s">
        <v>24</v>
      </c>
      <c r="B184" s="8" t="s">
        <v>198</v>
      </c>
      <c r="C184" s="3" t="s">
        <v>212</v>
      </c>
      <c r="D184" s="6">
        <v>1.3568</v>
      </c>
      <c r="E184" s="6">
        <v>0</v>
      </c>
      <c r="F184" s="6">
        <v>0</v>
      </c>
      <c r="G184" s="6">
        <v>0</v>
      </c>
      <c r="H184" s="6">
        <v>0</v>
      </c>
      <c r="I184" s="6">
        <v>132.027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7">
        <f t="shared" ref="R184:R199" si="6">SUM(D184:Q184)</f>
        <v>133.3838</v>
      </c>
    </row>
    <row r="185" spans="1:18">
      <c r="A185" s="3" t="s">
        <v>24</v>
      </c>
      <c r="B185" s="8" t="s">
        <v>198</v>
      </c>
      <c r="C185" s="3" t="s">
        <v>213</v>
      </c>
      <c r="D185" s="6">
        <v>0</v>
      </c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7">
        <f t="shared" si="6"/>
        <v>0</v>
      </c>
    </row>
    <row r="186" spans="1:18">
      <c r="A186" s="3" t="s">
        <v>24</v>
      </c>
      <c r="B186" s="8" t="s">
        <v>198</v>
      </c>
      <c r="C186" s="3" t="s">
        <v>214</v>
      </c>
      <c r="D186" s="6">
        <v>4.4965</v>
      </c>
      <c r="E186" s="6">
        <v>0</v>
      </c>
      <c r="F186" s="6">
        <v>0</v>
      </c>
      <c r="G186" s="6">
        <v>0</v>
      </c>
      <c r="H186" s="6">
        <v>0</v>
      </c>
      <c r="I186" s="6">
        <v>0.603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7">
        <f t="shared" si="6"/>
        <v>5.0995</v>
      </c>
    </row>
    <row r="187" spans="1:18">
      <c r="A187" s="3" t="s">
        <v>24</v>
      </c>
      <c r="B187" s="8" t="s">
        <v>198</v>
      </c>
      <c r="C187" s="3" t="s">
        <v>215</v>
      </c>
      <c r="D187" s="6">
        <v>2.7058</v>
      </c>
      <c r="E187" s="6">
        <v>0</v>
      </c>
      <c r="F187" s="6">
        <v>0</v>
      </c>
      <c r="G187" s="6">
        <v>0</v>
      </c>
      <c r="H187" s="6">
        <v>0</v>
      </c>
      <c r="I187" s="6">
        <v>87.159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7">
        <f t="shared" si="6"/>
        <v>89.8648</v>
      </c>
    </row>
    <row r="188" spans="1:18">
      <c r="A188" s="3" t="s">
        <v>24</v>
      </c>
      <c r="B188" s="8" t="s">
        <v>198</v>
      </c>
      <c r="C188" s="3" t="s">
        <v>216</v>
      </c>
      <c r="D188" s="6">
        <v>9.4742</v>
      </c>
      <c r="E188" s="6">
        <v>0</v>
      </c>
      <c r="F188" s="6">
        <v>0</v>
      </c>
      <c r="G188" s="6">
        <v>0</v>
      </c>
      <c r="H188" s="6">
        <v>0</v>
      </c>
      <c r="I188" s="6">
        <v>120.642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7">
        <f t="shared" si="6"/>
        <v>130.1162</v>
      </c>
    </row>
    <row r="189" spans="1:18">
      <c r="A189" s="3" t="s">
        <v>24</v>
      </c>
      <c r="B189" s="8" t="s">
        <v>198</v>
      </c>
      <c r="C189" s="3" t="s">
        <v>217</v>
      </c>
      <c r="D189" s="6">
        <v>4.9745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7">
        <f t="shared" si="6"/>
        <v>4.9745</v>
      </c>
    </row>
    <row r="190" spans="1:18">
      <c r="A190" s="3" t="s">
        <v>24</v>
      </c>
      <c r="B190" s="8" t="s">
        <v>198</v>
      </c>
      <c r="C190" s="3" t="s">
        <v>218</v>
      </c>
      <c r="D190" s="6">
        <v>0</v>
      </c>
      <c r="E190" s="6">
        <v>0</v>
      </c>
      <c r="F190" s="6">
        <v>0</v>
      </c>
      <c r="G190" s="6">
        <v>0</v>
      </c>
      <c r="H190" s="6">
        <v>0</v>
      </c>
      <c r="I190" s="6">
        <v>7.8855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7">
        <f t="shared" si="6"/>
        <v>7.8855</v>
      </c>
    </row>
    <row r="191" spans="1:18">
      <c r="A191" s="3" t="s">
        <v>24</v>
      </c>
      <c r="B191" s="8" t="s">
        <v>198</v>
      </c>
      <c r="C191" s="3" t="s">
        <v>219</v>
      </c>
      <c r="D191" s="6">
        <v>9.9252</v>
      </c>
      <c r="E191" s="6">
        <v>0</v>
      </c>
      <c r="F191" s="6">
        <v>0</v>
      </c>
      <c r="G191" s="6">
        <v>0</v>
      </c>
      <c r="H191" s="6">
        <v>0</v>
      </c>
      <c r="I191" s="6">
        <v>100.227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7">
        <f t="shared" si="6"/>
        <v>110.1522</v>
      </c>
    </row>
    <row r="192" spans="1:18">
      <c r="A192" s="3" t="s">
        <v>24</v>
      </c>
      <c r="B192" s="8" t="s">
        <v>198</v>
      </c>
      <c r="C192" s="3" t="s">
        <v>220</v>
      </c>
      <c r="D192" s="6">
        <v>2.4275</v>
      </c>
      <c r="E192" s="6">
        <v>0</v>
      </c>
      <c r="F192" s="6">
        <v>0</v>
      </c>
      <c r="G192" s="6">
        <v>0</v>
      </c>
      <c r="H192" s="6">
        <v>0</v>
      </c>
      <c r="I192" s="6">
        <v>31868.6775</v>
      </c>
      <c r="J192" s="6">
        <v>3702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7">
        <f t="shared" si="6"/>
        <v>35573.105</v>
      </c>
    </row>
    <row r="193" spans="1:18">
      <c r="A193" s="3" t="s">
        <v>24</v>
      </c>
      <c r="B193" s="8" t="s">
        <v>198</v>
      </c>
      <c r="C193" s="3" t="s">
        <v>221</v>
      </c>
      <c r="D193" s="6">
        <v>1.9746</v>
      </c>
      <c r="E193" s="6">
        <v>0</v>
      </c>
      <c r="F193" s="6">
        <v>0</v>
      </c>
      <c r="G193" s="6">
        <v>0</v>
      </c>
      <c r="H193" s="6">
        <v>0</v>
      </c>
      <c r="I193" s="6">
        <v>1.3095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7">
        <f t="shared" si="6"/>
        <v>3.2841</v>
      </c>
    </row>
    <row r="194" spans="1:18">
      <c r="A194" s="3" t="s">
        <v>24</v>
      </c>
      <c r="B194" s="8" t="s">
        <v>198</v>
      </c>
      <c r="C194" s="3" t="s">
        <v>222</v>
      </c>
      <c r="D194" s="6">
        <v>17.8994</v>
      </c>
      <c r="E194" s="6">
        <v>0</v>
      </c>
      <c r="F194" s="6">
        <v>0</v>
      </c>
      <c r="G194" s="6">
        <v>0</v>
      </c>
      <c r="H194" s="6">
        <v>0</v>
      </c>
      <c r="I194" s="6">
        <v>120.9105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7">
        <f t="shared" si="6"/>
        <v>138.8099</v>
      </c>
    </row>
    <row r="195" spans="1:18">
      <c r="A195" s="3" t="s">
        <v>24</v>
      </c>
      <c r="B195" s="8" t="s">
        <v>198</v>
      </c>
      <c r="C195" s="3" t="s">
        <v>223</v>
      </c>
      <c r="D195" s="6">
        <v>0</v>
      </c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7">
        <f t="shared" si="6"/>
        <v>0</v>
      </c>
    </row>
    <row r="196" spans="1:18">
      <c r="A196" s="3" t="s">
        <v>24</v>
      </c>
      <c r="B196" s="8" t="s">
        <v>198</v>
      </c>
      <c r="C196" s="3" t="s">
        <v>224</v>
      </c>
      <c r="D196" s="6">
        <v>9.1906</v>
      </c>
      <c r="E196" s="6">
        <v>0</v>
      </c>
      <c r="F196" s="6">
        <v>0</v>
      </c>
      <c r="G196" s="6">
        <v>0</v>
      </c>
      <c r="H196" s="6">
        <v>0</v>
      </c>
      <c r="I196" s="6">
        <v>10.572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7">
        <f t="shared" si="6"/>
        <v>19.7626</v>
      </c>
    </row>
    <row r="197" spans="1:18">
      <c r="A197" s="3" t="s">
        <v>24</v>
      </c>
      <c r="B197" s="8" t="s">
        <v>198</v>
      </c>
      <c r="C197" s="3" t="s">
        <v>225</v>
      </c>
      <c r="D197" s="6">
        <v>13.7946</v>
      </c>
      <c r="E197" s="6">
        <v>0</v>
      </c>
      <c r="F197" s="6">
        <v>0</v>
      </c>
      <c r="G197" s="6">
        <v>0</v>
      </c>
      <c r="H197" s="6">
        <v>0</v>
      </c>
      <c r="I197" s="6">
        <v>1.6215</v>
      </c>
      <c r="J197" s="6">
        <v>8957.9328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7">
        <f t="shared" si="6"/>
        <v>8973.3489</v>
      </c>
    </row>
    <row r="198" spans="1:18">
      <c r="A198" s="3" t="s">
        <v>24</v>
      </c>
      <c r="B198" s="3" t="s">
        <v>226</v>
      </c>
      <c r="C198" s="3" t="s">
        <v>227</v>
      </c>
      <c r="D198" s="6">
        <v>0</v>
      </c>
      <c r="E198" s="6">
        <v>356102.0566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7">
        <f t="shared" si="6"/>
        <v>356102.0566</v>
      </c>
    </row>
    <row r="199" spans="1:18">
      <c r="A199" s="3" t="s">
        <v>24</v>
      </c>
      <c r="B199" s="3" t="s">
        <v>226</v>
      </c>
      <c r="C199" s="3" t="s">
        <v>228</v>
      </c>
      <c r="D199" s="6">
        <v>0</v>
      </c>
      <c r="E199" s="6">
        <v>1358532.7236</v>
      </c>
      <c r="F199" s="6">
        <v>0</v>
      </c>
      <c r="G199" s="6">
        <v>0</v>
      </c>
      <c r="H199" s="6">
        <v>0</v>
      </c>
      <c r="I199" s="6">
        <v>0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7">
        <f t="shared" si="6"/>
        <v>1358532.7236</v>
      </c>
    </row>
  </sheetData>
  <mergeCells count="1">
    <mergeCell ref="A1:R1"/>
  </mergeCells>
  <pageMargins left="0.699305555555556" right="0.699305555555556" top="0.75" bottom="0.75" header="0.3" footer="0.3"/>
  <pageSetup paperSize="9" scale="2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2022-09-28T06:10:00Z</dcterms:created>
  <dcterms:modified xsi:type="dcterms:W3CDTF">2026-04-30T03:21:24Z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40C9EC1A75F8493C97DC07245E40F467</vt:lpwstr>
  </property>
  <property fmtid="{D5CDD505-2E9C-101B-9397-08002B2CF9AE}" pid="3" name="KSOProductBuildVer">
    <vt:lpwstr>2052-10.8.2.6613</vt:lpwstr>
  </property>
</Properties>
</file>