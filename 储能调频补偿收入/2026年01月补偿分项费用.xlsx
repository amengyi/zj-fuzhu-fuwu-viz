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65"/>
  </bookViews>
  <sheets>
    <sheet name="工作表" sheetId="1" r:id="rId1"/>
  </sheets>
  <definedNames>
    <definedName name="_xlnm._FilterDatabase" localSheetId="0" hidden="1">工作表!$A$4:$Q$197</definedName>
  </definedNames>
  <calcPr calcId="144525"/>
</workbook>
</file>

<file path=xl/sharedStrings.xml><?xml version="1.0" encoding="utf-8"?>
<sst xmlns="http://schemas.openxmlformats.org/spreadsheetml/2006/main" count="225">
  <si>
    <t>2026年01月补偿分项费用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</si>
  <si>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</si>
  <si>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</si>
  <si>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</si>
  <si>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</si>
  <si>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</si>
  <si>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</si>
  <si>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</si>
  <si>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</si>
  <si>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</si>
  <si>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</si>
  <si>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</si>
  <si>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</si>
  <si>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</si>
  <si>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</si>
  <si>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合计（元）</t>
  </si>
  <si>
    <t>调度</t>
  </si>
  <si>
    <t>类型</t>
  </si>
  <si>
    <t>并网主体</t>
  </si>
  <si>
    <t>补偿费用（元）</t>
  </si>
  <si>
    <t>补偿费用(元)</t>
  </si>
  <si>
    <t/>
  </si>
  <si>
    <t>本月汇总</t>
  </si>
  <si>
    <t>浙江省调</t>
  </si>
  <si>
    <t>华能浙江能源聚合中心</t>
  </si>
  <si>
    <t>浙能虚拟能源聚合中心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</si>
  <si>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</si>
  <si>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</si>
  <si>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</si>
  <si>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</si>
  <si>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</si>
  <si>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</si>
  <si>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</si>
  <si>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</si>
  <si>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</si>
  <si>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</si>
  <si>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</si>
  <si>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</si>
  <si>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</si>
  <si>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</si>
  <si>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</si>
  <si>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</si>
  <si>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</si>
  <si>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</si>
  <si>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</si>
  <si>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</si>
  <si>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</si>
  <si>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</si>
  <si>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</si>
  <si>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</si>
  <si>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</si>
  <si>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</si>
  <si>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</si>
  <si>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</si>
  <si>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</si>
  <si>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</si>
  <si>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</si>
  <si>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</si>
  <si>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</si>
  <si>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</si>
  <si>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</si>
  <si>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</si>
  <si>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</si>
  <si>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</si>
  <si>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</si>
  <si>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核电</t>
  </si>
  <si>
    <t>秦山厂</t>
  </si>
  <si>
    <t>三门厂</t>
  </si>
  <si>
    <t>燃机</t>
  </si>
  <si>
    <t>220kV镇海发电厂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</si>
  <si>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</si>
  <si>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</si>
  <si>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</si>
  <si>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</si>
  <si>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</si>
  <si>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</si>
  <si>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</si>
  <si>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</si>
  <si>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</si>
  <si>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</si>
  <si>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</si>
  <si>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</si>
  <si>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</si>
  <si>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</si>
  <si>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</si>
  <si>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</si>
  <si>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</si>
  <si>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</si>
  <si>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</si>
  <si>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</si>
  <si>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</si>
  <si>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</si>
  <si>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</si>
  <si>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</si>
  <si>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</si>
  <si>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</si>
  <si>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</si>
  <si>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</si>
  <si>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</si>
  <si>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</si>
  <si>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</si>
  <si>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</si>
  <si>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</si>
  <si>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</si>
  <si>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</si>
  <si>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</si>
  <si>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</si>
  <si>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</si>
  <si>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</si>
  <si>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</si>
  <si>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</si>
  <si>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</si>
  <si>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</si>
  <si>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</si>
  <si>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</si>
  <si>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</si>
  <si>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</si>
  <si>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</si>
  <si>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</si>
  <si>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</si>
  <si>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</si>
  <si>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</si>
  <si>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</si>
  <si>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</si>
  <si>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</si>
  <si>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</si>
  <si>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</si>
  <si>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</si>
  <si>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</si>
  <si>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</si>
  <si>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</si>
  <si>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</si>
  <si>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</si>
  <si>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</si>
  <si>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</si>
  <si>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</si>
  <si>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</si>
  <si>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</si>
  <si>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</si>
  <si>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</si>
  <si>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</si>
  <si>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</si>
  <si>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</si>
  <si>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</si>
  <si>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</si>
  <si>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</si>
  <si>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</si>
  <si>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</si>
  <si>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</si>
  <si>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</si>
  <si>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</si>
  <si>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</si>
  <si>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</si>
  <si>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</si>
  <si>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</si>
  <si>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</si>
  <si>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</si>
  <si>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</si>
  <si>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</si>
  <si>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</si>
  <si>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</si>
  <si>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</si>
  <si>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</si>
  <si>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</si>
  <si>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</si>
  <si>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</si>
  <si>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</si>
  <si>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</si>
  <si>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</si>
  <si>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</si>
  <si>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</si>
  <si>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</si>
  <si>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</si>
  <si>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</si>
  <si>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</si>
  <si>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</si>
  <si>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</si>
  <si>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</si>
  <si>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</si>
  <si>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</si>
  <si>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</si>
  <si>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</si>
  <si>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</si>
  <si>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</si>
  <si>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</si>
  <si>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</si>
  <si>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</si>
  <si>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</si>
  <si>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</si>
  <si>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</si>
  <si>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</si>
  <si>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</si>
  <si>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</si>
  <si>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</si>
  <si>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</si>
  <si>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</si>
  <si>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抽水蓄能</t>
  </si>
  <si>
    <t>宁蓄厂</t>
  </si>
  <si>
    <t>电化学储能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</si>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</sst>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4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2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15" borderId="13" applyNumberFormat="0" applyAlignment="0" applyProtection="0">
      <alignment vertical="center"/>
    </xf>
    <xf numFmtId="0" fontId="9" fillId="15" borderId="7" applyNumberFormat="0" applyAlignment="0" applyProtection="0">
      <alignment vertical="center"/>
    </xf>
    <xf numFmtId="0" fontId="8" fillId="12" borderId="8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7"/>
  <sheetViews>
    <sheetView tabSelected="1" topLeftCell="F1" workbookViewId="0">
      <selection activeCell="O9" sqref="O9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2.625"/>
  </cols>
  <sheetData>
    <row r="1" spans="1: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7"/>
    </row>
    <row r="2" s="1" customFormat="1" spans="1:18">
      <c r="A2" s="5"/>
      <c r="B2" s="5"/>
      <c r="C2" s="5"/>
      <c r="D2" s="6" t="s">
        <v>1</v>
      </c>
      <c r="E2" s="6" t="s">
        <v>2</v>
      </c>
      <c r="F2" s="6" t="s">
        <v>3</v>
      </c>
      <c r="G2" s="5" t="s">
        <v>4</v>
      </c>
      <c r="H2" s="6" t="s">
        <v>5</v>
      </c>
      <c r="I2" s="5" t="s">
        <v>6</v>
      </c>
      <c r="J2" s="6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8" t="s">
        <v>15</v>
      </c>
    </row>
    <row r="3" s="1" customFormat="1" spans="1:18">
      <c r="A3" s="5" t="s">
        <v>16</v>
      </c>
      <c r="B3" s="5" t="s">
        <v>17</v>
      </c>
      <c r="C3" s="6" t="s">
        <v>18</v>
      </c>
      <c r="D3" s="5" t="s">
        <v>19</v>
      </c>
      <c r="E3" s="5" t="s">
        <v>20</v>
      </c>
      <c r="F3" s="5" t="s">
        <v>19</v>
      </c>
      <c r="G3" s="5" t="s">
        <v>19</v>
      </c>
      <c r="H3" s="5" t="s">
        <v>20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19</v>
      </c>
      <c r="O3" s="5" t="s">
        <v>19</v>
      </c>
      <c r="P3" s="5" t="s">
        <v>19</v>
      </c>
      <c r="Q3" s="5" t="s">
        <v>19</v>
      </c>
      <c r="R3" s="9"/>
    </row>
    <row r="4" s="1" customFormat="1" spans="1:18">
      <c r="A4" s="5" t="s">
        <v>21</v>
      </c>
      <c r="B4" s="5" t="s">
        <v>21</v>
      </c>
      <c r="C4" s="5" t="s">
        <v>22</v>
      </c>
      <c r="D4" s="6">
        <f>SUM(D5:D197)</f>
        <v>324539.299</v>
      </c>
      <c r="E4" s="6">
        <f t="shared" ref="E4:Q4" si="0">SUM(E5:E197)</f>
        <v>6634242.18056393</v>
      </c>
      <c r="F4" s="6">
        <f t="shared" si="0"/>
        <v>0</v>
      </c>
      <c r="G4" s="6">
        <f t="shared" si="0"/>
        <v>14332774.1860046</v>
      </c>
      <c r="H4" s="6">
        <f t="shared" si="0"/>
        <v>14739325.5</v>
      </c>
      <c r="I4" s="6">
        <f t="shared" si="0"/>
        <v>5311187.01</v>
      </c>
      <c r="J4" s="6">
        <f t="shared" si="0"/>
        <v>20557831.1971283</v>
      </c>
      <c r="K4" s="6">
        <f t="shared" si="0"/>
        <v>40486092.192688</v>
      </c>
      <c r="L4" s="6">
        <f t="shared" si="0"/>
        <v>0</v>
      </c>
      <c r="M4" s="6">
        <f t="shared" si="0"/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280000</v>
      </c>
      <c r="R4" s="10">
        <f>SUM(R5:R197)</f>
        <v>102665991.565385</v>
      </c>
    </row>
    <row r="5" spans="1:18">
      <c r="A5" s="5" t="s">
        <v>23</v>
      </c>
      <c r="B5" s="5"/>
      <c r="C5" s="5" t="s">
        <v>24</v>
      </c>
      <c r="D5" s="6">
        <v>0</v>
      </c>
      <c r="E5" s="6">
        <v>333588.53125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10">
        <f t="shared" ref="R5:R36" si="1">SUM(D5:Q5)</f>
        <v>333588.53125</v>
      </c>
    </row>
    <row r="6" spans="1:18">
      <c r="A6" s="5" t="s">
        <v>23</v>
      </c>
      <c r="B6" s="5"/>
      <c r="C6" s="5" t="s">
        <v>25</v>
      </c>
      <c r="D6" s="6">
        <v>0</v>
      </c>
      <c r="E6" s="6">
        <v>379527.625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10">
        <f t="shared" si="1"/>
        <v>379527.625</v>
      </c>
    </row>
    <row r="7" spans="1:18">
      <c r="A7" s="5" t="s">
        <v>23</v>
      </c>
      <c r="B7" s="5" t="s">
        <v>26</v>
      </c>
      <c r="C7" s="5" t="s">
        <v>27</v>
      </c>
      <c r="D7" s="6">
        <v>13082.0675</v>
      </c>
      <c r="E7" s="6">
        <v>0</v>
      </c>
      <c r="F7" s="6">
        <v>0</v>
      </c>
      <c r="G7" s="6">
        <v>495589.1875</v>
      </c>
      <c r="H7" s="6">
        <v>0</v>
      </c>
      <c r="I7" s="6">
        <v>2393.85</v>
      </c>
      <c r="J7" s="6">
        <v>688825.5</v>
      </c>
      <c r="K7" s="6">
        <v>1680878.5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10">
        <f t="shared" si="1"/>
        <v>2880769.105</v>
      </c>
    </row>
    <row r="8" spans="1:18">
      <c r="A8" s="5" t="s">
        <v>23</v>
      </c>
      <c r="B8" s="5" t="s">
        <v>26</v>
      </c>
      <c r="C8" s="5" t="s">
        <v>28</v>
      </c>
      <c r="D8" s="6">
        <v>5349.8329</v>
      </c>
      <c r="E8" s="6">
        <v>0</v>
      </c>
      <c r="F8" s="6">
        <v>0</v>
      </c>
      <c r="G8" s="6">
        <v>164231.203125</v>
      </c>
      <c r="H8" s="6">
        <v>0</v>
      </c>
      <c r="I8" s="6">
        <v>146.85</v>
      </c>
      <c r="J8" s="6">
        <v>401130.4375</v>
      </c>
      <c r="K8" s="6">
        <v>1382139.5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10">
        <f t="shared" si="1"/>
        <v>1952997.823525</v>
      </c>
    </row>
    <row r="9" spans="1:18">
      <c r="A9" s="5" t="s">
        <v>23</v>
      </c>
      <c r="B9" s="5" t="s">
        <v>26</v>
      </c>
      <c r="C9" s="5" t="s">
        <v>29</v>
      </c>
      <c r="D9" s="6">
        <v>15774.0241</v>
      </c>
      <c r="E9" s="6">
        <v>0</v>
      </c>
      <c r="F9" s="6">
        <v>0</v>
      </c>
      <c r="G9" s="6">
        <v>619586.375</v>
      </c>
      <c r="H9" s="6">
        <v>0</v>
      </c>
      <c r="I9" s="6">
        <v>0</v>
      </c>
      <c r="J9" s="6">
        <v>763266</v>
      </c>
      <c r="K9" s="6">
        <v>1158657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10">
        <f t="shared" si="1"/>
        <v>2557283.3991</v>
      </c>
    </row>
    <row r="10" spans="1:18">
      <c r="A10" s="5" t="s">
        <v>23</v>
      </c>
      <c r="B10" s="5" t="s">
        <v>26</v>
      </c>
      <c r="C10" s="5" t="s">
        <v>30</v>
      </c>
      <c r="D10" s="6">
        <v>10313.4612</v>
      </c>
      <c r="E10" s="6">
        <v>0</v>
      </c>
      <c r="F10" s="6">
        <v>0</v>
      </c>
      <c r="G10" s="6">
        <v>265756.40625</v>
      </c>
      <c r="H10" s="6">
        <v>0</v>
      </c>
      <c r="I10" s="6">
        <v>0</v>
      </c>
      <c r="J10" s="6">
        <v>364945</v>
      </c>
      <c r="K10" s="6">
        <v>1037745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10">
        <f t="shared" si="1"/>
        <v>1678759.86745</v>
      </c>
    </row>
    <row r="11" spans="1:18">
      <c r="A11" s="5" t="s">
        <v>23</v>
      </c>
      <c r="B11" s="5" t="s">
        <v>26</v>
      </c>
      <c r="C11" s="5" t="s">
        <v>31</v>
      </c>
      <c r="D11" s="6">
        <v>5910.6017</v>
      </c>
      <c r="E11" s="6">
        <v>0</v>
      </c>
      <c r="F11" s="6">
        <v>0</v>
      </c>
      <c r="G11" s="6">
        <v>402826.8125</v>
      </c>
      <c r="H11" s="6">
        <v>0</v>
      </c>
      <c r="I11" s="6">
        <v>0</v>
      </c>
      <c r="J11" s="6">
        <v>708810</v>
      </c>
      <c r="K11" s="6">
        <v>1089215.5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10">
        <f t="shared" si="1"/>
        <v>2206762.9142</v>
      </c>
    </row>
    <row r="12" spans="1:18">
      <c r="A12" s="5" t="s">
        <v>23</v>
      </c>
      <c r="B12" s="5" t="s">
        <v>26</v>
      </c>
      <c r="C12" s="5" t="s">
        <v>32</v>
      </c>
      <c r="D12" s="6">
        <v>9813.2263</v>
      </c>
      <c r="E12" s="6">
        <v>0</v>
      </c>
      <c r="F12" s="6">
        <v>0</v>
      </c>
      <c r="G12" s="6">
        <v>426614</v>
      </c>
      <c r="H12" s="6">
        <v>0</v>
      </c>
      <c r="I12" s="6">
        <v>1529.7</v>
      </c>
      <c r="J12" s="6">
        <v>665722.125</v>
      </c>
      <c r="K12" s="6">
        <v>1379210.5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10">
        <f t="shared" si="1"/>
        <v>2482889.5513</v>
      </c>
    </row>
    <row r="13" spans="1:18">
      <c r="A13" s="5" t="s">
        <v>23</v>
      </c>
      <c r="B13" s="5" t="s">
        <v>26</v>
      </c>
      <c r="C13" s="5" t="s">
        <v>33</v>
      </c>
      <c r="D13" s="6">
        <v>4653.8422</v>
      </c>
      <c r="E13" s="6">
        <v>0</v>
      </c>
      <c r="F13" s="6">
        <v>0</v>
      </c>
      <c r="G13" s="6">
        <v>153732</v>
      </c>
      <c r="H13" s="6">
        <v>0</v>
      </c>
      <c r="I13" s="6">
        <v>154696.95</v>
      </c>
      <c r="J13" s="6">
        <v>261306.15625</v>
      </c>
      <c r="K13" s="6">
        <v>1332571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10">
        <f t="shared" si="1"/>
        <v>1906959.94845</v>
      </c>
    </row>
    <row r="14" spans="1:18">
      <c r="A14" s="5" t="s">
        <v>23</v>
      </c>
      <c r="B14" s="5" t="s">
        <v>26</v>
      </c>
      <c r="C14" s="5" t="s">
        <v>34</v>
      </c>
      <c r="D14" s="6">
        <v>9243.7519</v>
      </c>
      <c r="E14" s="6">
        <v>0</v>
      </c>
      <c r="F14" s="6">
        <v>0</v>
      </c>
      <c r="G14" s="6">
        <v>424979.59375</v>
      </c>
      <c r="H14" s="6">
        <v>0</v>
      </c>
      <c r="I14" s="6">
        <v>1461.45</v>
      </c>
      <c r="J14" s="6">
        <v>449931.90625</v>
      </c>
      <c r="K14" s="6">
        <v>1112158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10">
        <f t="shared" si="1"/>
        <v>1997774.7019</v>
      </c>
    </row>
    <row r="15" spans="1:18">
      <c r="A15" s="5" t="s">
        <v>23</v>
      </c>
      <c r="B15" s="5" t="s">
        <v>26</v>
      </c>
      <c r="C15" s="5" t="s">
        <v>35</v>
      </c>
      <c r="D15" s="6">
        <v>7757.2268</v>
      </c>
      <c r="E15" s="6">
        <v>0</v>
      </c>
      <c r="F15" s="6">
        <v>0</v>
      </c>
      <c r="G15" s="6">
        <v>250386</v>
      </c>
      <c r="H15" s="6">
        <v>0</v>
      </c>
      <c r="I15" s="6">
        <v>3438.3</v>
      </c>
      <c r="J15" s="6">
        <v>0</v>
      </c>
      <c r="K15" s="6">
        <v>635295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10">
        <f t="shared" si="1"/>
        <v>896876.5268</v>
      </c>
    </row>
    <row r="16" spans="1:18">
      <c r="A16" s="5" t="s">
        <v>23</v>
      </c>
      <c r="B16" s="5" t="s">
        <v>26</v>
      </c>
      <c r="C16" s="5" t="s">
        <v>36</v>
      </c>
      <c r="D16" s="6">
        <v>10209.5815</v>
      </c>
      <c r="E16" s="6">
        <v>0</v>
      </c>
      <c r="F16" s="6">
        <v>0</v>
      </c>
      <c r="G16" s="6">
        <v>312137.59375</v>
      </c>
      <c r="H16" s="6">
        <v>0</v>
      </c>
      <c r="I16" s="6">
        <v>0</v>
      </c>
      <c r="J16" s="6">
        <v>731555</v>
      </c>
      <c r="K16" s="6">
        <v>1040500.5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10">
        <f t="shared" si="1"/>
        <v>2094402.67525</v>
      </c>
    </row>
    <row r="17" spans="1:18">
      <c r="A17" s="5" t="s">
        <v>23</v>
      </c>
      <c r="B17" s="5" t="s">
        <v>26</v>
      </c>
      <c r="C17" s="5" t="s">
        <v>37</v>
      </c>
      <c r="D17" s="6">
        <v>29079.0438</v>
      </c>
      <c r="E17" s="6">
        <v>0</v>
      </c>
      <c r="F17" s="6">
        <v>0</v>
      </c>
      <c r="G17" s="6">
        <v>1083306.75</v>
      </c>
      <c r="H17" s="6">
        <v>0</v>
      </c>
      <c r="I17" s="6">
        <v>222.6</v>
      </c>
      <c r="J17" s="6">
        <v>1680823.125</v>
      </c>
      <c r="K17" s="6">
        <v>4114865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10">
        <f t="shared" si="1"/>
        <v>6908296.5188</v>
      </c>
    </row>
    <row r="18" spans="1:18">
      <c r="A18" s="5" t="s">
        <v>23</v>
      </c>
      <c r="B18" s="5" t="s">
        <v>26</v>
      </c>
      <c r="C18" s="5" t="s">
        <v>38</v>
      </c>
      <c r="D18" s="6">
        <v>4619.7388</v>
      </c>
      <c r="E18" s="6">
        <v>0</v>
      </c>
      <c r="F18" s="6">
        <v>0</v>
      </c>
      <c r="G18" s="6">
        <v>277846</v>
      </c>
      <c r="H18" s="6">
        <v>0</v>
      </c>
      <c r="I18" s="6">
        <v>988.5</v>
      </c>
      <c r="J18" s="6">
        <v>240103.046875</v>
      </c>
      <c r="K18" s="6">
        <v>580461.5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10">
        <f t="shared" si="1"/>
        <v>1104018.785675</v>
      </c>
    </row>
    <row r="19" spans="1:18">
      <c r="A19" s="5" t="s">
        <v>23</v>
      </c>
      <c r="B19" s="5" t="s">
        <v>26</v>
      </c>
      <c r="C19" s="5" t="s">
        <v>39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316597.95</v>
      </c>
      <c r="J19" s="6">
        <v>0</v>
      </c>
      <c r="K19" s="6">
        <v>77040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10">
        <f t="shared" si="1"/>
        <v>393637.95</v>
      </c>
    </row>
    <row r="20" spans="1:18">
      <c r="A20" s="5" t="s">
        <v>23</v>
      </c>
      <c r="B20" s="5" t="s">
        <v>26</v>
      </c>
      <c r="C20" s="5" t="s">
        <v>40</v>
      </c>
      <c r="D20" s="6">
        <v>15625.2313</v>
      </c>
      <c r="E20" s="6">
        <v>0</v>
      </c>
      <c r="F20" s="6">
        <v>0</v>
      </c>
      <c r="G20" s="6">
        <v>1054212.75</v>
      </c>
      <c r="H20" s="6">
        <v>0</v>
      </c>
      <c r="I20" s="6">
        <v>0</v>
      </c>
      <c r="J20" s="6">
        <v>965160.875</v>
      </c>
      <c r="K20" s="6">
        <v>2773351.5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10">
        <f t="shared" si="1"/>
        <v>4808350.3563</v>
      </c>
    </row>
    <row r="21" spans="1:18">
      <c r="A21" s="5" t="s">
        <v>23</v>
      </c>
      <c r="B21" s="5" t="s">
        <v>26</v>
      </c>
      <c r="C21" s="5" t="s">
        <v>41</v>
      </c>
      <c r="D21" s="6">
        <v>3483.7278</v>
      </c>
      <c r="E21" s="6">
        <v>0</v>
      </c>
      <c r="F21" s="6">
        <v>0</v>
      </c>
      <c r="G21" s="6">
        <v>170358</v>
      </c>
      <c r="H21" s="6">
        <v>0</v>
      </c>
      <c r="I21" s="6">
        <v>24561.75</v>
      </c>
      <c r="J21" s="6">
        <v>235343.5</v>
      </c>
      <c r="K21" s="6">
        <v>479107.5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10">
        <f t="shared" si="1"/>
        <v>912854.4778</v>
      </c>
    </row>
    <row r="22" spans="1:18">
      <c r="A22" s="5" t="s">
        <v>23</v>
      </c>
      <c r="B22" s="5" t="s">
        <v>26</v>
      </c>
      <c r="C22" s="5" t="s">
        <v>42</v>
      </c>
      <c r="D22" s="6">
        <v>2371.4743</v>
      </c>
      <c r="E22" s="6">
        <v>0</v>
      </c>
      <c r="F22" s="6">
        <v>0</v>
      </c>
      <c r="G22" s="6">
        <v>53820.3984375</v>
      </c>
      <c r="H22" s="6">
        <v>0</v>
      </c>
      <c r="I22" s="6">
        <v>0</v>
      </c>
      <c r="J22" s="6">
        <v>480348</v>
      </c>
      <c r="K22" s="6">
        <v>756083.5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10">
        <f t="shared" si="1"/>
        <v>1292623.3727375</v>
      </c>
    </row>
    <row r="23" spans="1:18">
      <c r="A23" s="5" t="s">
        <v>23</v>
      </c>
      <c r="B23" s="5" t="s">
        <v>26</v>
      </c>
      <c r="C23" s="5" t="s">
        <v>43</v>
      </c>
      <c r="D23" s="6">
        <v>16268.6657</v>
      </c>
      <c r="E23" s="6">
        <v>0</v>
      </c>
      <c r="F23" s="6">
        <v>0</v>
      </c>
      <c r="G23" s="6">
        <v>404545.1875</v>
      </c>
      <c r="H23" s="6">
        <v>0</v>
      </c>
      <c r="I23" s="6">
        <v>0</v>
      </c>
      <c r="J23" s="6">
        <v>963279.875</v>
      </c>
      <c r="K23" s="6">
        <v>2197466.5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10">
        <f t="shared" si="1"/>
        <v>3581560.2282</v>
      </c>
    </row>
    <row r="24" spans="1:18">
      <c r="A24" s="5" t="s">
        <v>23</v>
      </c>
      <c r="B24" s="5" t="s">
        <v>26</v>
      </c>
      <c r="C24" s="5" t="s">
        <v>44</v>
      </c>
      <c r="D24" s="6">
        <v>24441.2684</v>
      </c>
      <c r="E24" s="6">
        <v>0</v>
      </c>
      <c r="F24" s="6">
        <v>0</v>
      </c>
      <c r="G24" s="6">
        <v>767000.375</v>
      </c>
      <c r="H24" s="6">
        <v>0</v>
      </c>
      <c r="I24" s="6">
        <v>0</v>
      </c>
      <c r="J24" s="6">
        <v>1483560.5</v>
      </c>
      <c r="K24" s="6">
        <v>2463363.5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10">
        <f t="shared" si="1"/>
        <v>4738365.6434</v>
      </c>
    </row>
    <row r="25" spans="1:18">
      <c r="A25" s="5" t="s">
        <v>23</v>
      </c>
      <c r="B25" s="5" t="s">
        <v>26</v>
      </c>
      <c r="C25" s="5" t="s">
        <v>45</v>
      </c>
      <c r="D25" s="6">
        <v>20377.5564</v>
      </c>
      <c r="E25" s="6">
        <v>0</v>
      </c>
      <c r="F25" s="6">
        <v>0</v>
      </c>
      <c r="G25" s="6">
        <v>741026.8125</v>
      </c>
      <c r="H25" s="6">
        <v>0</v>
      </c>
      <c r="I25" s="6">
        <v>0</v>
      </c>
      <c r="J25" s="6">
        <v>742166.25</v>
      </c>
      <c r="K25" s="6">
        <v>1349293.5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10">
        <f t="shared" si="1"/>
        <v>2852864.1189</v>
      </c>
    </row>
    <row r="26" spans="1:18">
      <c r="A26" s="5" t="s">
        <v>23</v>
      </c>
      <c r="B26" s="5" t="s">
        <v>26</v>
      </c>
      <c r="C26" s="5" t="s">
        <v>46</v>
      </c>
      <c r="D26" s="6">
        <v>19017.4118</v>
      </c>
      <c r="E26" s="6">
        <v>0</v>
      </c>
      <c r="F26" s="6">
        <v>0</v>
      </c>
      <c r="G26" s="6">
        <v>827432.375</v>
      </c>
      <c r="H26" s="6">
        <v>0</v>
      </c>
      <c r="I26" s="6">
        <v>0</v>
      </c>
      <c r="J26" s="6">
        <v>913959.875</v>
      </c>
      <c r="K26" s="6">
        <v>1546205.5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10">
        <f t="shared" si="1"/>
        <v>3306615.1618</v>
      </c>
    </row>
    <row r="27" spans="1:18">
      <c r="A27" s="5" t="s">
        <v>23</v>
      </c>
      <c r="B27" s="5" t="s">
        <v>26</v>
      </c>
      <c r="C27" s="5" t="s">
        <v>47</v>
      </c>
      <c r="D27" s="6">
        <v>14527.9991</v>
      </c>
      <c r="E27" s="6">
        <v>0</v>
      </c>
      <c r="F27" s="6">
        <v>0</v>
      </c>
      <c r="G27" s="6">
        <v>317679.1875</v>
      </c>
      <c r="H27" s="6">
        <v>0</v>
      </c>
      <c r="I27" s="6">
        <v>0</v>
      </c>
      <c r="J27" s="6">
        <v>771880.1875</v>
      </c>
      <c r="K27" s="6">
        <v>1356823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10">
        <f t="shared" si="1"/>
        <v>2460910.3741</v>
      </c>
    </row>
    <row r="28" spans="1:18">
      <c r="A28" s="5" t="s">
        <v>23</v>
      </c>
      <c r="B28" s="5" t="s">
        <v>26</v>
      </c>
      <c r="C28" s="5" t="s">
        <v>48</v>
      </c>
      <c r="D28" s="6">
        <v>321.4656</v>
      </c>
      <c r="E28" s="6">
        <v>0</v>
      </c>
      <c r="F28" s="6">
        <v>0</v>
      </c>
      <c r="G28" s="6">
        <v>20894</v>
      </c>
      <c r="H28" s="6">
        <v>0</v>
      </c>
      <c r="I28" s="6">
        <v>27.75</v>
      </c>
      <c r="J28" s="6">
        <v>0</v>
      </c>
      <c r="K28" s="6">
        <v>468161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10">
        <f t="shared" si="1"/>
        <v>489404.2156</v>
      </c>
    </row>
    <row r="29" spans="1:18">
      <c r="A29" s="5" t="s">
        <v>23</v>
      </c>
      <c r="B29" s="5" t="s">
        <v>26</v>
      </c>
      <c r="C29" s="5" t="s">
        <v>49</v>
      </c>
      <c r="D29" s="6">
        <v>6617.3371</v>
      </c>
      <c r="E29" s="6">
        <v>0</v>
      </c>
      <c r="F29" s="6">
        <v>0</v>
      </c>
      <c r="G29" s="6">
        <v>168636.40625</v>
      </c>
      <c r="H29" s="6">
        <v>0</v>
      </c>
      <c r="I29" s="6">
        <v>318.45</v>
      </c>
      <c r="J29" s="6">
        <v>489342.25</v>
      </c>
      <c r="K29" s="6">
        <v>1471023.5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10">
        <f t="shared" si="1"/>
        <v>2135937.94335</v>
      </c>
    </row>
    <row r="30" spans="1:18">
      <c r="A30" s="5" t="s">
        <v>23</v>
      </c>
      <c r="B30" s="5" t="s">
        <v>26</v>
      </c>
      <c r="C30" s="5" t="s">
        <v>50</v>
      </c>
      <c r="D30" s="6">
        <v>3520.7425</v>
      </c>
      <c r="E30" s="6">
        <v>0</v>
      </c>
      <c r="F30" s="6">
        <v>0</v>
      </c>
      <c r="G30" s="6">
        <v>128642.3984375</v>
      </c>
      <c r="H30" s="6">
        <v>0</v>
      </c>
      <c r="I30" s="6">
        <v>0</v>
      </c>
      <c r="J30" s="6">
        <v>241474.203125</v>
      </c>
      <c r="K30" s="6">
        <v>524485.5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10">
        <f t="shared" si="1"/>
        <v>898122.8440625</v>
      </c>
    </row>
    <row r="31" spans="1:18">
      <c r="A31" s="5" t="s">
        <v>23</v>
      </c>
      <c r="B31" s="5" t="s">
        <v>26</v>
      </c>
      <c r="C31" s="5" t="s">
        <v>51</v>
      </c>
      <c r="D31" s="6">
        <v>7103.5986</v>
      </c>
      <c r="E31" s="6">
        <v>0</v>
      </c>
      <c r="F31" s="6">
        <v>0</v>
      </c>
      <c r="G31" s="6">
        <v>177325.203125</v>
      </c>
      <c r="H31" s="6">
        <v>0</v>
      </c>
      <c r="I31" s="6">
        <v>0</v>
      </c>
      <c r="J31" s="6">
        <v>482512.8125</v>
      </c>
      <c r="K31" s="6">
        <v>1081120.5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10">
        <f t="shared" si="1"/>
        <v>1748062.114225</v>
      </c>
    </row>
    <row r="32" spans="1:18">
      <c r="A32" s="5" t="s">
        <v>23</v>
      </c>
      <c r="B32" s="5" t="s">
        <v>26</v>
      </c>
      <c r="C32" s="5" t="s">
        <v>52</v>
      </c>
      <c r="D32" s="6">
        <v>3401.7334</v>
      </c>
      <c r="E32" s="6">
        <v>0</v>
      </c>
      <c r="F32" s="6">
        <v>0</v>
      </c>
      <c r="G32" s="6">
        <v>116623.6015625</v>
      </c>
      <c r="H32" s="6">
        <v>0</v>
      </c>
      <c r="I32" s="6">
        <v>0</v>
      </c>
      <c r="J32" s="6">
        <v>241419.75</v>
      </c>
      <c r="K32" s="6">
        <v>560955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10">
        <f t="shared" si="1"/>
        <v>922400.0849625</v>
      </c>
    </row>
    <row r="33" spans="1:18">
      <c r="A33" s="5" t="s">
        <v>23</v>
      </c>
      <c r="B33" s="5" t="s">
        <v>26</v>
      </c>
      <c r="C33" s="5" t="s">
        <v>53</v>
      </c>
      <c r="D33" s="6">
        <v>11705.9</v>
      </c>
      <c r="E33" s="6">
        <v>0</v>
      </c>
      <c r="F33" s="6">
        <v>0</v>
      </c>
      <c r="G33" s="6">
        <v>408043.1875</v>
      </c>
      <c r="H33" s="6">
        <v>0</v>
      </c>
      <c r="I33" s="6">
        <v>0</v>
      </c>
      <c r="J33" s="6">
        <v>934963.25</v>
      </c>
      <c r="K33" s="6">
        <v>2355073.5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10">
        <f t="shared" si="1"/>
        <v>3709785.8375</v>
      </c>
    </row>
    <row r="34" spans="1:18">
      <c r="A34" s="5" t="s">
        <v>23</v>
      </c>
      <c r="B34" s="5" t="s">
        <v>26</v>
      </c>
      <c r="C34" s="5" t="s">
        <v>54</v>
      </c>
      <c r="D34" s="6">
        <v>25428.6917</v>
      </c>
      <c r="E34" s="6">
        <v>0</v>
      </c>
      <c r="F34" s="6">
        <v>0</v>
      </c>
      <c r="G34" s="6">
        <v>935451.1875</v>
      </c>
      <c r="H34" s="6">
        <v>0</v>
      </c>
      <c r="I34" s="6">
        <v>152.55</v>
      </c>
      <c r="J34" s="6">
        <v>1481035</v>
      </c>
      <c r="K34" s="6">
        <v>2274279.5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10">
        <f t="shared" si="1"/>
        <v>4716346.9292</v>
      </c>
    </row>
    <row r="35" spans="1:18">
      <c r="A35" s="5" t="s">
        <v>23</v>
      </c>
      <c r="B35" s="5" t="s">
        <v>26</v>
      </c>
      <c r="C35" s="5" t="s">
        <v>55</v>
      </c>
      <c r="D35" s="6">
        <v>4294.9987</v>
      </c>
      <c r="E35" s="6">
        <v>0</v>
      </c>
      <c r="F35" s="6">
        <v>0</v>
      </c>
      <c r="G35" s="6">
        <v>207540</v>
      </c>
      <c r="H35" s="6">
        <v>0</v>
      </c>
      <c r="I35" s="6">
        <v>735.9</v>
      </c>
      <c r="J35" s="6">
        <v>305537.09375</v>
      </c>
      <c r="K35" s="6">
        <v>763348.5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10">
        <f t="shared" si="1"/>
        <v>1281456.49245</v>
      </c>
    </row>
    <row r="36" spans="1:18">
      <c r="A36" s="5" t="s">
        <v>23</v>
      </c>
      <c r="B36" s="5" t="s">
        <v>56</v>
      </c>
      <c r="C36" s="5" t="s">
        <v>57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7.2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10">
        <f t="shared" si="1"/>
        <v>7.2</v>
      </c>
    </row>
    <row r="37" spans="1:18">
      <c r="A37" s="5" t="s">
        <v>23</v>
      </c>
      <c r="B37" s="5" t="s">
        <v>56</v>
      </c>
      <c r="C37" s="5" t="s">
        <v>58</v>
      </c>
      <c r="D37" s="6">
        <v>0</v>
      </c>
      <c r="E37" s="6">
        <v>0</v>
      </c>
      <c r="F37" s="6">
        <v>0</v>
      </c>
      <c r="G37" s="6">
        <v>0</v>
      </c>
      <c r="H37" s="6">
        <v>4550</v>
      </c>
      <c r="I37" s="6">
        <v>3.15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10">
        <f t="shared" ref="R37:R68" si="2">SUM(D37:Q37)</f>
        <v>4553.15</v>
      </c>
    </row>
    <row r="38" spans="1:18">
      <c r="A38" s="5" t="s">
        <v>23</v>
      </c>
      <c r="B38" s="5" t="s">
        <v>56</v>
      </c>
      <c r="C38" s="5" t="s">
        <v>59</v>
      </c>
      <c r="D38" s="6">
        <v>0.2597</v>
      </c>
      <c r="E38" s="6">
        <v>113.519996643066</v>
      </c>
      <c r="F38" s="6">
        <v>0</v>
      </c>
      <c r="G38" s="6">
        <v>303.200012207031</v>
      </c>
      <c r="H38" s="6">
        <v>7825.5</v>
      </c>
      <c r="I38" s="6">
        <v>0.75</v>
      </c>
      <c r="J38" s="6">
        <v>0</v>
      </c>
      <c r="K38" s="6">
        <v>3868.5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10">
        <f t="shared" si="2"/>
        <v>52111.7297088501</v>
      </c>
    </row>
    <row r="39" spans="1:18">
      <c r="A39" s="5" t="s">
        <v>23</v>
      </c>
      <c r="B39" s="5" t="s">
        <v>56</v>
      </c>
      <c r="C39" s="5" t="s">
        <v>60</v>
      </c>
      <c r="D39" s="6">
        <v>8.3119</v>
      </c>
      <c r="E39" s="6">
        <v>0</v>
      </c>
      <c r="F39" s="6">
        <v>0</v>
      </c>
      <c r="G39" s="6">
        <v>142385.203125</v>
      </c>
      <c r="H39" s="6">
        <v>83000</v>
      </c>
      <c r="I39" s="6">
        <v>361.8</v>
      </c>
      <c r="J39" s="6">
        <v>5649.25</v>
      </c>
      <c r="K39" s="6">
        <v>7979.5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10">
        <f t="shared" si="2"/>
        <v>279384.065025</v>
      </c>
    </row>
    <row r="40" spans="1:18">
      <c r="A40" s="5" t="s">
        <v>23</v>
      </c>
      <c r="B40" s="5" t="s">
        <v>56</v>
      </c>
      <c r="C40" s="5" t="s">
        <v>61</v>
      </c>
      <c r="D40" s="6">
        <v>0</v>
      </c>
      <c r="E40" s="6">
        <v>0</v>
      </c>
      <c r="F40" s="6">
        <v>0</v>
      </c>
      <c r="G40" s="6">
        <v>0</v>
      </c>
      <c r="H40" s="6">
        <v>6292</v>
      </c>
      <c r="I40" s="6">
        <v>412.35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10">
        <f t="shared" si="2"/>
        <v>46704.35</v>
      </c>
    </row>
    <row r="41" spans="1:18">
      <c r="A41" s="5" t="s">
        <v>23</v>
      </c>
      <c r="B41" s="5" t="s">
        <v>56</v>
      </c>
      <c r="C41" s="5" t="s">
        <v>62</v>
      </c>
      <c r="D41" s="6">
        <v>40.0087</v>
      </c>
      <c r="E41" s="6">
        <v>0</v>
      </c>
      <c r="F41" s="6">
        <v>0</v>
      </c>
      <c r="G41" s="6">
        <v>682099.1875</v>
      </c>
      <c r="H41" s="6">
        <v>304000</v>
      </c>
      <c r="I41" s="6">
        <v>602.55</v>
      </c>
      <c r="J41" s="6">
        <v>5846</v>
      </c>
      <c r="K41" s="6">
        <v>36531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40000</v>
      </c>
      <c r="R41" s="10">
        <f t="shared" si="2"/>
        <v>1069118.7462</v>
      </c>
    </row>
    <row r="42" spans="1:18">
      <c r="A42" s="5" t="s">
        <v>23</v>
      </c>
      <c r="B42" s="5" t="s">
        <v>56</v>
      </c>
      <c r="C42" s="5" t="s">
        <v>63</v>
      </c>
      <c r="D42" s="6">
        <v>10.3595</v>
      </c>
      <c r="E42" s="6">
        <v>0</v>
      </c>
      <c r="F42" s="6">
        <v>0</v>
      </c>
      <c r="G42" s="6">
        <v>163689.203125</v>
      </c>
      <c r="H42" s="6">
        <v>124650</v>
      </c>
      <c r="I42" s="6">
        <v>260.4</v>
      </c>
      <c r="J42" s="6">
        <v>4553.35009765625</v>
      </c>
      <c r="K42" s="6">
        <v>27531.5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40000</v>
      </c>
      <c r="R42" s="10">
        <f t="shared" si="2"/>
        <v>360694.812722656</v>
      </c>
    </row>
    <row r="43" spans="1:18">
      <c r="A43" s="5" t="s">
        <v>23</v>
      </c>
      <c r="B43" s="5" t="s">
        <v>56</v>
      </c>
      <c r="C43" s="5" t="s">
        <v>64</v>
      </c>
      <c r="D43" s="6">
        <v>0.2581</v>
      </c>
      <c r="E43" s="6">
        <v>0</v>
      </c>
      <c r="F43" s="6">
        <v>0</v>
      </c>
      <c r="G43" s="6">
        <v>1473.19995117187</v>
      </c>
      <c r="H43" s="6">
        <v>0</v>
      </c>
      <c r="I43" s="6">
        <v>5.55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10">
        <f t="shared" si="2"/>
        <v>1479.00805117187</v>
      </c>
    </row>
    <row r="44" spans="1:18">
      <c r="A44" s="5" t="s">
        <v>23</v>
      </c>
      <c r="B44" s="5" t="s">
        <v>65</v>
      </c>
      <c r="C44" s="5" t="s">
        <v>66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2548.5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10">
        <f t="shared" si="2"/>
        <v>2548.5</v>
      </c>
    </row>
    <row r="45" spans="1:18">
      <c r="A45" s="5" t="s">
        <v>23</v>
      </c>
      <c r="B45" s="5" t="s">
        <v>65</v>
      </c>
      <c r="C45" s="5" t="s">
        <v>67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24941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10">
        <f t="shared" si="2"/>
        <v>24941</v>
      </c>
    </row>
    <row r="46" spans="1:18">
      <c r="A46" s="5" t="s">
        <v>23</v>
      </c>
      <c r="B46" s="5" t="s">
        <v>68</v>
      </c>
      <c r="C46" s="5" t="s">
        <v>69</v>
      </c>
      <c r="D46" s="6">
        <v>1383.8124</v>
      </c>
      <c r="E46" s="6">
        <v>505582.0625</v>
      </c>
      <c r="F46" s="6">
        <v>0</v>
      </c>
      <c r="G46" s="6">
        <v>36861.6015625</v>
      </c>
      <c r="H46" s="6">
        <v>1124600</v>
      </c>
      <c r="I46" s="6">
        <v>14474.31</v>
      </c>
      <c r="J46" s="6">
        <v>64597.19921875</v>
      </c>
      <c r="K46" s="6">
        <v>199627.703125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10">
        <f t="shared" si="2"/>
        <v>1947126.68880625</v>
      </c>
    </row>
    <row r="47" spans="1:18">
      <c r="A47" s="5" t="s">
        <v>23</v>
      </c>
      <c r="B47" s="5" t="s">
        <v>68</v>
      </c>
      <c r="C47" s="5" t="s">
        <v>70</v>
      </c>
      <c r="D47" s="6">
        <v>4906.0903</v>
      </c>
      <c r="E47" s="6">
        <v>970980.125</v>
      </c>
      <c r="F47" s="6">
        <v>0</v>
      </c>
      <c r="G47" s="6">
        <v>158751.59375</v>
      </c>
      <c r="H47" s="6">
        <v>3061500</v>
      </c>
      <c r="I47" s="6">
        <v>4005.45</v>
      </c>
      <c r="J47" s="6">
        <v>216292.515625</v>
      </c>
      <c r="K47" s="6">
        <v>157538.796875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10">
        <f t="shared" si="2"/>
        <v>4573974.57155</v>
      </c>
    </row>
    <row r="48" spans="1:18">
      <c r="A48" s="5" t="s">
        <v>23</v>
      </c>
      <c r="B48" s="5" t="s">
        <v>68</v>
      </c>
      <c r="C48" s="5" t="s">
        <v>71</v>
      </c>
      <c r="D48" s="6">
        <v>1069.5769</v>
      </c>
      <c r="E48" s="6">
        <v>388906.3125</v>
      </c>
      <c r="F48" s="6">
        <v>0</v>
      </c>
      <c r="G48" s="6">
        <v>56968</v>
      </c>
      <c r="H48" s="6">
        <v>641200</v>
      </c>
      <c r="I48" s="6">
        <v>943.15</v>
      </c>
      <c r="J48" s="6">
        <v>75881.4375</v>
      </c>
      <c r="K48" s="6">
        <v>45953.1015625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10">
        <f t="shared" si="2"/>
        <v>1210921.5784625</v>
      </c>
    </row>
    <row r="49" spans="1:18">
      <c r="A49" s="5" t="s">
        <v>23</v>
      </c>
      <c r="B49" s="5" t="s">
        <v>68</v>
      </c>
      <c r="C49" s="5" t="s">
        <v>72</v>
      </c>
      <c r="D49" s="6">
        <v>344.8961</v>
      </c>
      <c r="E49" s="6">
        <v>397544.6875</v>
      </c>
      <c r="F49" s="6">
        <v>0</v>
      </c>
      <c r="G49" s="6">
        <v>0</v>
      </c>
      <c r="H49" s="6">
        <v>522000</v>
      </c>
      <c r="I49" s="6">
        <v>6079.5</v>
      </c>
      <c r="J49" s="6">
        <v>54224.9296875</v>
      </c>
      <c r="K49" s="6">
        <v>306684.1875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10">
        <f t="shared" si="2"/>
        <v>1286878.2007875</v>
      </c>
    </row>
    <row r="50" spans="1:18">
      <c r="A50" s="5" t="s">
        <v>23</v>
      </c>
      <c r="B50" s="5" t="s">
        <v>68</v>
      </c>
      <c r="C50" s="5" t="s">
        <v>73</v>
      </c>
      <c r="D50" s="6">
        <v>0.2912</v>
      </c>
      <c r="E50" s="6">
        <v>0</v>
      </c>
      <c r="F50" s="6">
        <v>0</v>
      </c>
      <c r="G50" s="6">
        <v>0</v>
      </c>
      <c r="H50" s="6">
        <v>6200</v>
      </c>
      <c r="I50" s="6">
        <v>1788.16</v>
      </c>
      <c r="J50" s="6">
        <v>202.300003051758</v>
      </c>
      <c r="K50" s="6">
        <v>20026.19921875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10">
        <f t="shared" si="2"/>
        <v>28216.9504218018</v>
      </c>
    </row>
    <row r="51" spans="1:18">
      <c r="A51" s="5" t="s">
        <v>23</v>
      </c>
      <c r="B51" s="5" t="s">
        <v>68</v>
      </c>
      <c r="C51" s="5" t="s">
        <v>74</v>
      </c>
      <c r="D51" s="6">
        <v>956.5844</v>
      </c>
      <c r="E51" s="6">
        <v>604697.3125</v>
      </c>
      <c r="F51" s="6">
        <v>0</v>
      </c>
      <c r="G51" s="6">
        <v>37640.80078125</v>
      </c>
      <c r="H51" s="6">
        <v>1172640</v>
      </c>
      <c r="I51" s="6">
        <v>10378.77</v>
      </c>
      <c r="J51" s="6">
        <v>147683.5</v>
      </c>
      <c r="K51" s="6">
        <v>115854.6015625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10">
        <f t="shared" si="2"/>
        <v>2089851.56924375</v>
      </c>
    </row>
    <row r="52" spans="1:18">
      <c r="A52" s="5" t="s">
        <v>23</v>
      </c>
      <c r="B52" s="5" t="s">
        <v>68</v>
      </c>
      <c r="C52" s="5" t="s">
        <v>75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31.65</v>
      </c>
      <c r="J52" s="6">
        <v>0</v>
      </c>
      <c r="K52" s="6">
        <v>23262.19921875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10">
        <f t="shared" si="2"/>
        <v>23293.84921875</v>
      </c>
    </row>
    <row r="53" spans="1:18">
      <c r="A53" s="5" t="s">
        <v>23</v>
      </c>
      <c r="B53" s="5" t="s">
        <v>68</v>
      </c>
      <c r="C53" s="5" t="s">
        <v>76</v>
      </c>
      <c r="D53" s="6">
        <v>2262.3382</v>
      </c>
      <c r="E53" s="6">
        <v>129125.6484375</v>
      </c>
      <c r="F53" s="6">
        <v>0</v>
      </c>
      <c r="G53" s="6">
        <v>73212</v>
      </c>
      <c r="H53" s="6">
        <v>1056550</v>
      </c>
      <c r="I53" s="6">
        <v>12063.86</v>
      </c>
      <c r="J53" s="6">
        <v>132277.65625</v>
      </c>
      <c r="K53" s="6">
        <v>79610.203125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10">
        <f t="shared" si="2"/>
        <v>1485101.7060125</v>
      </c>
    </row>
    <row r="54" spans="1:18">
      <c r="A54" s="5" t="s">
        <v>23</v>
      </c>
      <c r="B54" s="5" t="s">
        <v>68</v>
      </c>
      <c r="C54" s="5" t="s">
        <v>77</v>
      </c>
      <c r="D54" s="6">
        <v>952.6223</v>
      </c>
      <c r="E54" s="6">
        <v>1136516.25</v>
      </c>
      <c r="F54" s="6">
        <v>0</v>
      </c>
      <c r="G54" s="6">
        <v>0</v>
      </c>
      <c r="H54" s="6">
        <v>491000</v>
      </c>
      <c r="I54" s="6">
        <v>681.35</v>
      </c>
      <c r="J54" s="6">
        <v>154309.03125</v>
      </c>
      <c r="K54" s="6">
        <v>117005.1015625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10">
        <f t="shared" si="2"/>
        <v>1900464.3551125</v>
      </c>
    </row>
    <row r="55" spans="1:18">
      <c r="A55" s="5" t="s">
        <v>23</v>
      </c>
      <c r="B55" s="5" t="s">
        <v>68</v>
      </c>
      <c r="C55" s="5" t="s">
        <v>78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10">
        <f t="shared" si="2"/>
        <v>0</v>
      </c>
    </row>
    <row r="56" spans="1:18">
      <c r="A56" s="5" t="s">
        <v>23</v>
      </c>
      <c r="B56" s="5" t="s">
        <v>68</v>
      </c>
      <c r="C56" s="5" t="s">
        <v>79</v>
      </c>
      <c r="D56" s="6">
        <v>26.7007</v>
      </c>
      <c r="E56" s="6">
        <v>20316.470703125</v>
      </c>
      <c r="F56" s="6">
        <v>0</v>
      </c>
      <c r="G56" s="6">
        <v>8436</v>
      </c>
      <c r="H56" s="6">
        <v>46000</v>
      </c>
      <c r="I56" s="6">
        <v>3629.41</v>
      </c>
      <c r="J56" s="6">
        <v>2509.35009765625</v>
      </c>
      <c r="K56" s="6">
        <v>349.299987792969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10">
        <f t="shared" si="2"/>
        <v>81267.2314885742</v>
      </c>
    </row>
    <row r="57" spans="1:18">
      <c r="A57" s="5" t="s">
        <v>23</v>
      </c>
      <c r="B57" s="5" t="s">
        <v>68</v>
      </c>
      <c r="C57" s="5" t="s">
        <v>80</v>
      </c>
      <c r="D57" s="6">
        <v>1.8169</v>
      </c>
      <c r="E57" s="6">
        <v>7675.56005859375</v>
      </c>
      <c r="F57" s="6">
        <v>0</v>
      </c>
      <c r="G57" s="6">
        <v>3556</v>
      </c>
      <c r="H57" s="6">
        <v>16800</v>
      </c>
      <c r="I57" s="6">
        <v>309.6</v>
      </c>
      <c r="J57" s="6">
        <v>325.079986572266</v>
      </c>
      <c r="K57" s="6">
        <v>550.400024414063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10">
        <f t="shared" si="2"/>
        <v>29218.4569695801</v>
      </c>
    </row>
    <row r="58" spans="1:18">
      <c r="A58" s="5" t="s">
        <v>23</v>
      </c>
      <c r="B58" s="5" t="s">
        <v>68</v>
      </c>
      <c r="C58" s="5" t="s">
        <v>81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453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10">
        <f t="shared" si="2"/>
        <v>453</v>
      </c>
    </row>
    <row r="59" spans="1:18">
      <c r="A59" s="5" t="s">
        <v>23</v>
      </c>
      <c r="B59" s="5" t="s">
        <v>68</v>
      </c>
      <c r="C59" s="5" t="s">
        <v>82</v>
      </c>
      <c r="D59" s="6">
        <v>834.7853</v>
      </c>
      <c r="E59" s="6">
        <v>0</v>
      </c>
      <c r="F59" s="6">
        <v>0</v>
      </c>
      <c r="G59" s="6">
        <v>18022.80078125</v>
      </c>
      <c r="H59" s="6">
        <v>425400</v>
      </c>
      <c r="I59" s="6">
        <v>75.68</v>
      </c>
      <c r="J59" s="6">
        <v>71685.2734375</v>
      </c>
      <c r="K59" s="6">
        <v>8352.7998046875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10">
        <f t="shared" si="2"/>
        <v>524371.339323438</v>
      </c>
    </row>
    <row r="60" spans="1:18">
      <c r="A60" s="5" t="s">
        <v>23</v>
      </c>
      <c r="B60" s="5" t="s">
        <v>68</v>
      </c>
      <c r="C60" s="5" t="s">
        <v>83</v>
      </c>
      <c r="D60" s="6">
        <v>239.4392</v>
      </c>
      <c r="E60" s="6">
        <v>78579.9765625</v>
      </c>
      <c r="F60" s="6">
        <v>0</v>
      </c>
      <c r="G60" s="6">
        <v>0</v>
      </c>
      <c r="H60" s="6">
        <v>473900</v>
      </c>
      <c r="I60" s="6">
        <v>3992.04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10">
        <f t="shared" si="2"/>
        <v>556711.4557625</v>
      </c>
    </row>
    <row r="61" spans="1:18">
      <c r="A61" s="5" t="s">
        <v>23</v>
      </c>
      <c r="B61" s="5" t="s">
        <v>68</v>
      </c>
      <c r="C61" s="5" t="s">
        <v>84</v>
      </c>
      <c r="D61" s="6">
        <v>2155.22</v>
      </c>
      <c r="E61" s="6">
        <v>883330.8125</v>
      </c>
      <c r="F61" s="6">
        <v>0</v>
      </c>
      <c r="G61" s="6">
        <v>30841.19921875</v>
      </c>
      <c r="H61" s="6">
        <v>994400</v>
      </c>
      <c r="I61" s="6">
        <v>2636.48</v>
      </c>
      <c r="J61" s="6">
        <v>148068.421875</v>
      </c>
      <c r="K61" s="6">
        <v>97463.1015625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10">
        <f t="shared" si="2"/>
        <v>2158895.23515625</v>
      </c>
    </row>
    <row r="62" spans="1:18">
      <c r="A62" s="5" t="s">
        <v>23</v>
      </c>
      <c r="B62" s="5" t="s">
        <v>68</v>
      </c>
      <c r="C62" s="5" t="s">
        <v>85</v>
      </c>
      <c r="D62" s="6">
        <v>946.955</v>
      </c>
      <c r="E62" s="6">
        <v>8887.5595703125</v>
      </c>
      <c r="F62" s="6">
        <v>0</v>
      </c>
      <c r="G62" s="6">
        <v>36652</v>
      </c>
      <c r="H62" s="6">
        <v>489250</v>
      </c>
      <c r="I62" s="6">
        <v>10891.35</v>
      </c>
      <c r="J62" s="6">
        <v>64491.421875</v>
      </c>
      <c r="K62" s="6">
        <v>11775.2001953125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10">
        <f t="shared" si="2"/>
        <v>622894.486640625</v>
      </c>
    </row>
    <row r="63" spans="1:18">
      <c r="A63" s="5" t="s">
        <v>23</v>
      </c>
      <c r="B63" s="5" t="s">
        <v>68</v>
      </c>
      <c r="C63" s="5" t="s">
        <v>86</v>
      </c>
      <c r="D63" s="6">
        <v>560.7306</v>
      </c>
      <c r="E63" s="6">
        <v>42431.30078125</v>
      </c>
      <c r="F63" s="6">
        <v>0</v>
      </c>
      <c r="G63" s="6">
        <v>51918</v>
      </c>
      <c r="H63" s="6">
        <v>476200</v>
      </c>
      <c r="I63" s="6">
        <v>288144.02</v>
      </c>
      <c r="J63" s="6">
        <v>50226.37890625</v>
      </c>
      <c r="K63" s="6">
        <v>7719.7001953125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10">
        <f t="shared" si="2"/>
        <v>917200.130482813</v>
      </c>
    </row>
    <row r="64" spans="1:18">
      <c r="A64" s="5" t="s">
        <v>23</v>
      </c>
      <c r="B64" s="5" t="s">
        <v>68</v>
      </c>
      <c r="C64" s="5" t="s">
        <v>87</v>
      </c>
      <c r="D64" s="6">
        <v>1539.6114</v>
      </c>
      <c r="E64" s="6">
        <v>444606.53125</v>
      </c>
      <c r="F64" s="6">
        <v>0</v>
      </c>
      <c r="G64" s="6">
        <v>21505.19921875</v>
      </c>
      <c r="H64" s="6">
        <v>1529348</v>
      </c>
      <c r="I64" s="6">
        <v>6136.67</v>
      </c>
      <c r="J64" s="6">
        <v>103681.75</v>
      </c>
      <c r="K64" s="6">
        <v>75093.796875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10">
        <f t="shared" si="2"/>
        <v>2181911.55874375</v>
      </c>
    </row>
    <row r="65" spans="1:18">
      <c r="A65" s="5" t="s">
        <v>23</v>
      </c>
      <c r="B65" s="5" t="s">
        <v>68</v>
      </c>
      <c r="C65" s="5" t="s">
        <v>88</v>
      </c>
      <c r="D65" s="6">
        <v>284.9717</v>
      </c>
      <c r="E65" s="6">
        <v>18796.689453125</v>
      </c>
      <c r="F65" s="6">
        <v>0</v>
      </c>
      <c r="G65" s="6">
        <v>25369.19921875</v>
      </c>
      <c r="H65" s="6">
        <v>307810</v>
      </c>
      <c r="I65" s="6">
        <v>416.01</v>
      </c>
      <c r="J65" s="6">
        <v>19949.470703125</v>
      </c>
      <c r="K65" s="6">
        <v>5943.89990234375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10">
        <f t="shared" si="2"/>
        <v>378570.240977344</v>
      </c>
    </row>
    <row r="66" spans="1:18">
      <c r="A66" s="5" t="s">
        <v>23</v>
      </c>
      <c r="B66" s="5" t="s">
        <v>68</v>
      </c>
      <c r="C66" s="5" t="s">
        <v>89</v>
      </c>
      <c r="D66" s="6">
        <v>1247.1395</v>
      </c>
      <c r="E66" s="6">
        <v>226111.34375</v>
      </c>
      <c r="F66" s="6">
        <v>0</v>
      </c>
      <c r="G66" s="6">
        <v>49458.3984375</v>
      </c>
      <c r="H66" s="6">
        <v>1097010</v>
      </c>
      <c r="I66" s="6">
        <v>40182.45</v>
      </c>
      <c r="J66" s="6">
        <v>66534.953125</v>
      </c>
      <c r="K66" s="6">
        <v>58262.5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10">
        <f t="shared" si="2"/>
        <v>1538806.7848125</v>
      </c>
    </row>
    <row r="67" spans="1:18">
      <c r="A67" s="5" t="s">
        <v>23</v>
      </c>
      <c r="B67" s="5" t="s">
        <v>68</v>
      </c>
      <c r="C67" s="5" t="s">
        <v>90</v>
      </c>
      <c r="D67" s="6">
        <v>347.1216</v>
      </c>
      <c r="E67" s="6">
        <v>34255.671875</v>
      </c>
      <c r="F67" s="6">
        <v>0</v>
      </c>
      <c r="G67" s="6">
        <v>17192.400390625</v>
      </c>
      <c r="H67" s="6">
        <v>277200</v>
      </c>
      <c r="I67" s="6">
        <v>306.6</v>
      </c>
      <c r="J67" s="6">
        <v>23902.33984375</v>
      </c>
      <c r="K67" s="6">
        <v>10740.900390625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10">
        <f t="shared" si="2"/>
        <v>363945.0341</v>
      </c>
    </row>
    <row r="68" spans="1:18">
      <c r="A68" s="5" t="s">
        <v>23</v>
      </c>
      <c r="B68" s="5" t="s">
        <v>68</v>
      </c>
      <c r="C68" s="5" t="s">
        <v>91</v>
      </c>
      <c r="D68" s="6">
        <v>0</v>
      </c>
      <c r="E68" s="6">
        <v>8760.3095703125</v>
      </c>
      <c r="F68" s="6">
        <v>0</v>
      </c>
      <c r="G68" s="6">
        <v>0</v>
      </c>
      <c r="H68" s="6">
        <v>0</v>
      </c>
      <c r="I68" s="6">
        <v>920.4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10">
        <f t="shared" si="2"/>
        <v>9680.7095703125</v>
      </c>
    </row>
    <row r="69" spans="1:18">
      <c r="A69" s="5" t="s">
        <v>23</v>
      </c>
      <c r="B69" s="5" t="s">
        <v>92</v>
      </c>
      <c r="C69" s="5" t="s">
        <v>93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6.45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10">
        <f t="shared" ref="R69:R100" si="3">SUM(D69:Q69)</f>
        <v>6.45</v>
      </c>
    </row>
    <row r="70" spans="1:18">
      <c r="A70" s="5" t="s">
        <v>23</v>
      </c>
      <c r="B70" s="5" t="s">
        <v>92</v>
      </c>
      <c r="C70" s="5" t="s">
        <v>94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3454.03002929688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10">
        <f t="shared" si="3"/>
        <v>3454.03002929688</v>
      </c>
    </row>
    <row r="71" spans="1:18">
      <c r="A71" s="5" t="s">
        <v>23</v>
      </c>
      <c r="B71" s="5" t="s">
        <v>92</v>
      </c>
      <c r="C71" s="5" t="s">
        <v>95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7025.1</v>
      </c>
      <c r="J71" s="6">
        <v>5602.27978515625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10">
        <f t="shared" si="3"/>
        <v>12627.3797851563</v>
      </c>
    </row>
    <row r="72" spans="1:18">
      <c r="A72" s="5" t="s">
        <v>23</v>
      </c>
      <c r="B72" s="5" t="s">
        <v>92</v>
      </c>
      <c r="C72" s="5" t="s">
        <v>96</v>
      </c>
      <c r="D72" s="6">
        <v>0.4661</v>
      </c>
      <c r="E72" s="6">
        <v>0</v>
      </c>
      <c r="F72" s="6">
        <v>0</v>
      </c>
      <c r="G72" s="6">
        <v>988.400024414063</v>
      </c>
      <c r="H72" s="6">
        <v>0</v>
      </c>
      <c r="I72" s="6">
        <v>243.6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10">
        <f t="shared" si="3"/>
        <v>1232.46612441406</v>
      </c>
    </row>
    <row r="73" spans="1:18">
      <c r="A73" s="5" t="s">
        <v>23</v>
      </c>
      <c r="B73" s="5" t="s">
        <v>92</v>
      </c>
      <c r="C73" s="5" t="s">
        <v>97</v>
      </c>
      <c r="D73" s="6">
        <v>2.6434</v>
      </c>
      <c r="E73" s="6">
        <v>0</v>
      </c>
      <c r="F73" s="6">
        <v>0</v>
      </c>
      <c r="G73" s="6">
        <v>3001.19995117188</v>
      </c>
      <c r="H73" s="6">
        <v>0</v>
      </c>
      <c r="I73" s="6">
        <v>6.9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10">
        <f t="shared" si="3"/>
        <v>3010.74335117188</v>
      </c>
    </row>
    <row r="74" spans="1:18">
      <c r="A74" s="5" t="s">
        <v>23</v>
      </c>
      <c r="B74" s="5" t="s">
        <v>92</v>
      </c>
      <c r="C74" s="5" t="s">
        <v>98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266.7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10">
        <f t="shared" si="3"/>
        <v>266.7</v>
      </c>
    </row>
    <row r="75" spans="1:18">
      <c r="A75" s="5" t="s">
        <v>23</v>
      </c>
      <c r="B75" s="5" t="s">
        <v>92</v>
      </c>
      <c r="C75" s="5" t="s">
        <v>99</v>
      </c>
      <c r="D75" s="6">
        <v>0.9413</v>
      </c>
      <c r="E75" s="6">
        <v>50.0400009155273</v>
      </c>
      <c r="F75" s="6">
        <v>0</v>
      </c>
      <c r="G75" s="6">
        <v>0</v>
      </c>
      <c r="H75" s="6">
        <v>0</v>
      </c>
      <c r="I75" s="6">
        <v>162.45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10">
        <f t="shared" si="3"/>
        <v>213.431300915527</v>
      </c>
    </row>
    <row r="76" spans="1:18">
      <c r="A76" s="5" t="s">
        <v>23</v>
      </c>
      <c r="B76" s="5" t="s">
        <v>92</v>
      </c>
      <c r="C76" s="5" t="s">
        <v>100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671.25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10">
        <f t="shared" si="3"/>
        <v>671.25</v>
      </c>
    </row>
    <row r="77" spans="1:18">
      <c r="A77" s="5" t="s">
        <v>23</v>
      </c>
      <c r="B77" s="5" t="s">
        <v>92</v>
      </c>
      <c r="C77" s="5" t="s">
        <v>101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14840.7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10">
        <f t="shared" si="3"/>
        <v>14840.7</v>
      </c>
    </row>
    <row r="78" spans="1:18">
      <c r="A78" s="5" t="s">
        <v>23</v>
      </c>
      <c r="B78" s="5" t="s">
        <v>92</v>
      </c>
      <c r="C78" s="5" t="s">
        <v>102</v>
      </c>
      <c r="D78" s="6">
        <v>1.1168</v>
      </c>
      <c r="E78" s="6">
        <v>1441.80004882812</v>
      </c>
      <c r="F78" s="6">
        <v>0</v>
      </c>
      <c r="G78" s="6">
        <v>0</v>
      </c>
      <c r="H78" s="6">
        <v>0</v>
      </c>
      <c r="I78" s="6">
        <v>0.45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10">
        <f t="shared" si="3"/>
        <v>1443.36684882813</v>
      </c>
    </row>
    <row r="79" spans="1:18">
      <c r="A79" s="5" t="s">
        <v>23</v>
      </c>
      <c r="B79" s="5" t="s">
        <v>92</v>
      </c>
      <c r="C79" s="5" t="s">
        <v>103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2505.45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10">
        <f t="shared" si="3"/>
        <v>2505.45</v>
      </c>
    </row>
    <row r="80" spans="1:18">
      <c r="A80" s="5" t="s">
        <v>23</v>
      </c>
      <c r="B80" s="5" t="s">
        <v>92</v>
      </c>
      <c r="C80" s="5" t="s">
        <v>104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79.05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10">
        <f t="shared" si="3"/>
        <v>79.05</v>
      </c>
    </row>
    <row r="81" spans="1:18">
      <c r="A81" s="5" t="s">
        <v>23</v>
      </c>
      <c r="B81" s="5" t="s">
        <v>92</v>
      </c>
      <c r="C81" s="5" t="s">
        <v>105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2411.55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10">
        <f t="shared" si="3"/>
        <v>2411.55</v>
      </c>
    </row>
    <row r="82" spans="1:18">
      <c r="A82" s="5" t="s">
        <v>23</v>
      </c>
      <c r="B82" s="5" t="s">
        <v>92</v>
      </c>
      <c r="C82" s="5" t="s">
        <v>106</v>
      </c>
      <c r="D82" s="6">
        <v>1.6889</v>
      </c>
      <c r="E82" s="6">
        <v>0</v>
      </c>
      <c r="F82" s="6">
        <v>0</v>
      </c>
      <c r="G82" s="6">
        <v>0</v>
      </c>
      <c r="H82" s="6">
        <v>0</v>
      </c>
      <c r="I82" s="6">
        <v>48880.35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10">
        <f t="shared" si="3"/>
        <v>48882.0389</v>
      </c>
    </row>
    <row r="83" spans="1:18">
      <c r="A83" s="5" t="s">
        <v>23</v>
      </c>
      <c r="B83" s="5" t="s">
        <v>92</v>
      </c>
      <c r="C83" s="5" t="s">
        <v>107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361.8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10">
        <f t="shared" si="3"/>
        <v>361.8</v>
      </c>
    </row>
    <row r="84" spans="1:18">
      <c r="A84" s="5" t="s">
        <v>23</v>
      </c>
      <c r="B84" s="5" t="s">
        <v>92</v>
      </c>
      <c r="C84" s="5" t="s">
        <v>108</v>
      </c>
      <c r="D84" s="6">
        <v>1.2895</v>
      </c>
      <c r="E84" s="6">
        <v>0</v>
      </c>
      <c r="F84" s="6">
        <v>0</v>
      </c>
      <c r="G84" s="6">
        <v>0</v>
      </c>
      <c r="H84" s="6">
        <v>0</v>
      </c>
      <c r="I84" s="6">
        <v>102.45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10">
        <f t="shared" si="3"/>
        <v>103.7395</v>
      </c>
    </row>
    <row r="85" spans="1:18">
      <c r="A85" s="5" t="s">
        <v>23</v>
      </c>
      <c r="B85" s="5" t="s">
        <v>92</v>
      </c>
      <c r="C85" s="5" t="s">
        <v>109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42.15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10">
        <f t="shared" si="3"/>
        <v>42.15</v>
      </c>
    </row>
    <row r="86" spans="1:18">
      <c r="A86" s="5" t="s">
        <v>23</v>
      </c>
      <c r="B86" s="5" t="s">
        <v>92</v>
      </c>
      <c r="C86" s="5" t="s">
        <v>110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81.6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10">
        <f t="shared" si="3"/>
        <v>81.6</v>
      </c>
    </row>
    <row r="87" spans="1:18">
      <c r="A87" s="5" t="s">
        <v>23</v>
      </c>
      <c r="B87" s="5" t="s">
        <v>92</v>
      </c>
      <c r="C87" s="5" t="s">
        <v>111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12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10">
        <f t="shared" si="3"/>
        <v>12</v>
      </c>
    </row>
    <row r="88" spans="1:18">
      <c r="A88" s="5" t="s">
        <v>23</v>
      </c>
      <c r="B88" s="5" t="s">
        <v>92</v>
      </c>
      <c r="C88" s="5" t="s">
        <v>112</v>
      </c>
      <c r="D88" s="6">
        <v>0.1058</v>
      </c>
      <c r="E88" s="6">
        <v>0</v>
      </c>
      <c r="F88" s="6">
        <v>0</v>
      </c>
      <c r="G88" s="6">
        <v>0</v>
      </c>
      <c r="H88" s="6">
        <v>0</v>
      </c>
      <c r="I88" s="6">
        <v>512.4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10">
        <f t="shared" si="3"/>
        <v>512.5058</v>
      </c>
    </row>
    <row r="89" spans="1:18">
      <c r="A89" s="5" t="s">
        <v>23</v>
      </c>
      <c r="B89" s="5" t="s">
        <v>92</v>
      </c>
      <c r="C89" s="5" t="s">
        <v>113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14653.2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10">
        <f t="shared" si="3"/>
        <v>14653.2</v>
      </c>
    </row>
    <row r="90" spans="1:18">
      <c r="A90" s="5" t="s">
        <v>23</v>
      </c>
      <c r="B90" s="5" t="s">
        <v>92</v>
      </c>
      <c r="C90" s="5" t="s">
        <v>114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1079.55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10">
        <f t="shared" si="3"/>
        <v>1079.55</v>
      </c>
    </row>
    <row r="91" spans="1:18">
      <c r="A91" s="5" t="s">
        <v>23</v>
      </c>
      <c r="B91" s="5" t="s">
        <v>92</v>
      </c>
      <c r="C91" s="5" t="s">
        <v>115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210.6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10">
        <f t="shared" si="3"/>
        <v>210.6</v>
      </c>
    </row>
    <row r="92" spans="1:18">
      <c r="A92" s="5" t="s">
        <v>23</v>
      </c>
      <c r="B92" s="5" t="s">
        <v>92</v>
      </c>
      <c r="C92" s="5" t="s">
        <v>116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6.45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10">
        <f t="shared" si="3"/>
        <v>6.45</v>
      </c>
    </row>
    <row r="93" spans="1:18">
      <c r="A93" s="5" t="s">
        <v>23</v>
      </c>
      <c r="B93" s="5" t="s">
        <v>92</v>
      </c>
      <c r="C93" s="5" t="s">
        <v>117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374.85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10">
        <f t="shared" si="3"/>
        <v>374.85</v>
      </c>
    </row>
    <row r="94" spans="1:18">
      <c r="A94" s="5" t="s">
        <v>23</v>
      </c>
      <c r="B94" s="5" t="s">
        <v>92</v>
      </c>
      <c r="C94" s="5" t="s">
        <v>118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2762.85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10">
        <f t="shared" si="3"/>
        <v>2762.85</v>
      </c>
    </row>
    <row r="95" spans="1:18">
      <c r="A95" s="5" t="s">
        <v>23</v>
      </c>
      <c r="B95" s="5" t="s">
        <v>92</v>
      </c>
      <c r="C95" s="5" t="s">
        <v>119</v>
      </c>
      <c r="D95" s="6">
        <v>1.5742</v>
      </c>
      <c r="E95" s="6">
        <v>0</v>
      </c>
      <c r="F95" s="6">
        <v>0</v>
      </c>
      <c r="G95" s="6">
        <v>1734.80004882812</v>
      </c>
      <c r="H95" s="6">
        <v>0</v>
      </c>
      <c r="I95" s="6">
        <v>147127.65</v>
      </c>
      <c r="J95" s="6">
        <v>24435.009765625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10">
        <f t="shared" si="3"/>
        <v>173299.034014453</v>
      </c>
    </row>
    <row r="96" spans="1:18">
      <c r="A96" s="5" t="s">
        <v>23</v>
      </c>
      <c r="B96" s="5" t="s">
        <v>92</v>
      </c>
      <c r="C96" s="5" t="s">
        <v>120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122.25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10">
        <f t="shared" si="3"/>
        <v>122.25</v>
      </c>
    </row>
    <row r="97" spans="1:18">
      <c r="A97" s="5" t="s">
        <v>23</v>
      </c>
      <c r="B97" s="5" t="s">
        <v>92</v>
      </c>
      <c r="C97" s="5" t="s">
        <v>121</v>
      </c>
      <c r="D97" s="6">
        <v>0.1559</v>
      </c>
      <c r="E97" s="6">
        <v>0</v>
      </c>
      <c r="F97" s="6">
        <v>0</v>
      </c>
      <c r="G97" s="6">
        <v>0</v>
      </c>
      <c r="H97" s="6">
        <v>0</v>
      </c>
      <c r="I97" s="6">
        <v>2044.2</v>
      </c>
      <c r="J97" s="6">
        <v>13578.3896484375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10">
        <f t="shared" si="3"/>
        <v>15622.7455484375</v>
      </c>
    </row>
    <row r="98" spans="1:18">
      <c r="A98" s="5" t="s">
        <v>23</v>
      </c>
      <c r="B98" s="5" t="s">
        <v>92</v>
      </c>
      <c r="C98" s="5" t="s">
        <v>122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29142.6</v>
      </c>
      <c r="J98" s="6">
        <v>12949.0302734375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10">
        <f t="shared" si="3"/>
        <v>42091.6302734375</v>
      </c>
    </row>
    <row r="99" spans="1:18">
      <c r="A99" s="5" t="s">
        <v>23</v>
      </c>
      <c r="B99" s="5" t="s">
        <v>92</v>
      </c>
      <c r="C99" s="5" t="s">
        <v>123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7.2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10">
        <f t="shared" si="3"/>
        <v>7.2</v>
      </c>
    </row>
    <row r="100" spans="1:18">
      <c r="A100" s="5" t="s">
        <v>23</v>
      </c>
      <c r="B100" s="5" t="s">
        <v>92</v>
      </c>
      <c r="C100" s="5" t="s">
        <v>124</v>
      </c>
      <c r="D100" s="6">
        <v>1.6033</v>
      </c>
      <c r="E100" s="6">
        <v>0</v>
      </c>
      <c r="F100" s="6">
        <v>0</v>
      </c>
      <c r="G100" s="6">
        <v>2402.80004882813</v>
      </c>
      <c r="H100" s="6">
        <v>0</v>
      </c>
      <c r="I100" s="6">
        <v>43.65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10">
        <f t="shared" si="3"/>
        <v>2448.05334882813</v>
      </c>
    </row>
    <row r="101" spans="1:18">
      <c r="A101" s="5" t="s">
        <v>23</v>
      </c>
      <c r="B101" s="5" t="s">
        <v>92</v>
      </c>
      <c r="C101" s="5" t="s">
        <v>125</v>
      </c>
      <c r="D101" s="6">
        <v>0.7466</v>
      </c>
      <c r="E101" s="6">
        <v>14.039999961853</v>
      </c>
      <c r="F101" s="6">
        <v>0</v>
      </c>
      <c r="G101" s="6">
        <v>0</v>
      </c>
      <c r="H101" s="6">
        <v>0</v>
      </c>
      <c r="I101" s="6">
        <v>622.35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10">
        <f t="shared" ref="R101:R132" si="4">SUM(D101:Q101)</f>
        <v>637.136599961853</v>
      </c>
    </row>
    <row r="102" spans="1:18">
      <c r="A102" s="5" t="s">
        <v>23</v>
      </c>
      <c r="B102" s="5" t="s">
        <v>92</v>
      </c>
      <c r="C102" s="5" t="s">
        <v>126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179.7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10">
        <f t="shared" si="4"/>
        <v>179.7</v>
      </c>
    </row>
    <row r="103" spans="1:18">
      <c r="A103" s="5" t="s">
        <v>23</v>
      </c>
      <c r="B103" s="5" t="s">
        <v>92</v>
      </c>
      <c r="C103" s="5" t="s">
        <v>127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77.55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10">
        <f t="shared" si="4"/>
        <v>77.55</v>
      </c>
    </row>
    <row r="104" spans="1:18">
      <c r="A104" s="5" t="s">
        <v>23</v>
      </c>
      <c r="B104" s="5" t="s">
        <v>92</v>
      </c>
      <c r="C104" s="5" t="s">
        <v>128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89.1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10">
        <f t="shared" si="4"/>
        <v>89.1</v>
      </c>
    </row>
    <row r="105" spans="1:18">
      <c r="A105" s="5" t="s">
        <v>23</v>
      </c>
      <c r="B105" s="5" t="s">
        <v>92</v>
      </c>
      <c r="C105" s="5" t="s">
        <v>129</v>
      </c>
      <c r="D105" s="6">
        <v>0.1472</v>
      </c>
      <c r="E105" s="6">
        <v>91.4400024414062</v>
      </c>
      <c r="F105" s="6">
        <v>0</v>
      </c>
      <c r="G105" s="6">
        <v>0</v>
      </c>
      <c r="H105" s="6">
        <v>0</v>
      </c>
      <c r="I105" s="6">
        <v>48156.45</v>
      </c>
      <c r="J105" s="6">
        <v>5907.93017578125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10">
        <f t="shared" si="4"/>
        <v>54155.9673782227</v>
      </c>
    </row>
    <row r="106" spans="1:18">
      <c r="A106" s="5" t="s">
        <v>23</v>
      </c>
      <c r="B106" s="5" t="s">
        <v>92</v>
      </c>
      <c r="C106" s="5" t="s">
        <v>130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2473.05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10">
        <f t="shared" si="4"/>
        <v>2473.05</v>
      </c>
    </row>
    <row r="107" spans="1:18">
      <c r="A107" s="5" t="s">
        <v>23</v>
      </c>
      <c r="B107" s="5" t="s">
        <v>92</v>
      </c>
      <c r="C107" s="5" t="s">
        <v>131</v>
      </c>
      <c r="D107" s="6">
        <v>0</v>
      </c>
      <c r="E107" s="6">
        <v>640.799987792969</v>
      </c>
      <c r="F107" s="6">
        <v>0</v>
      </c>
      <c r="G107" s="6">
        <v>0</v>
      </c>
      <c r="H107" s="6">
        <v>0</v>
      </c>
      <c r="I107" s="6">
        <v>0.15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10">
        <f t="shared" si="4"/>
        <v>640.949987792969</v>
      </c>
    </row>
    <row r="108" spans="1:18">
      <c r="A108" s="5" t="s">
        <v>23</v>
      </c>
      <c r="B108" s="5" t="s">
        <v>92</v>
      </c>
      <c r="C108" s="5" t="s">
        <v>132</v>
      </c>
      <c r="D108" s="6">
        <v>0.2189</v>
      </c>
      <c r="E108" s="6">
        <v>0</v>
      </c>
      <c r="F108" s="6">
        <v>0</v>
      </c>
      <c r="G108" s="6">
        <v>0</v>
      </c>
      <c r="H108" s="6">
        <v>0</v>
      </c>
      <c r="I108" s="6">
        <v>105.45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10">
        <f t="shared" si="4"/>
        <v>105.6689</v>
      </c>
    </row>
    <row r="109" spans="1:18">
      <c r="A109" s="5" t="s">
        <v>23</v>
      </c>
      <c r="B109" s="5" t="s">
        <v>92</v>
      </c>
      <c r="C109" s="5" t="s">
        <v>133</v>
      </c>
      <c r="D109" s="6">
        <v>1.1484</v>
      </c>
      <c r="E109" s="6">
        <v>0</v>
      </c>
      <c r="F109" s="6">
        <v>0</v>
      </c>
      <c r="G109" s="6">
        <v>535.200012207031</v>
      </c>
      <c r="H109" s="6">
        <v>0</v>
      </c>
      <c r="I109" s="6">
        <v>463.35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10">
        <f t="shared" si="4"/>
        <v>999.698412207031</v>
      </c>
    </row>
    <row r="110" spans="1:18">
      <c r="A110" s="5" t="s">
        <v>23</v>
      </c>
      <c r="B110" s="5" t="s">
        <v>92</v>
      </c>
      <c r="C110" s="5" t="s">
        <v>134</v>
      </c>
      <c r="D110" s="6">
        <v>0.2376</v>
      </c>
      <c r="E110" s="6">
        <v>0</v>
      </c>
      <c r="F110" s="6">
        <v>0</v>
      </c>
      <c r="G110" s="6">
        <v>0</v>
      </c>
      <c r="H110" s="6">
        <v>0</v>
      </c>
      <c r="I110" s="6">
        <v>30.3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10">
        <f t="shared" si="4"/>
        <v>30.5376</v>
      </c>
    </row>
    <row r="111" spans="1:18">
      <c r="A111" s="5" t="s">
        <v>23</v>
      </c>
      <c r="B111" s="5" t="s">
        <v>92</v>
      </c>
      <c r="C111" s="5" t="s">
        <v>135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160.05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10">
        <f t="shared" si="4"/>
        <v>160.05</v>
      </c>
    </row>
    <row r="112" spans="1:18">
      <c r="A112" s="5" t="s">
        <v>23</v>
      </c>
      <c r="B112" s="5" t="s">
        <v>92</v>
      </c>
      <c r="C112" s="5" t="s">
        <v>136</v>
      </c>
      <c r="D112" s="6">
        <v>0.0479</v>
      </c>
      <c r="E112" s="6">
        <v>0</v>
      </c>
      <c r="F112" s="6">
        <v>0</v>
      </c>
      <c r="G112" s="6">
        <v>0</v>
      </c>
      <c r="H112" s="6">
        <v>0</v>
      </c>
      <c r="I112" s="6">
        <v>28984.2</v>
      </c>
      <c r="J112" s="6">
        <v>5242.02001953125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10">
        <f t="shared" si="4"/>
        <v>34226.2679195313</v>
      </c>
    </row>
    <row r="113" spans="1:18">
      <c r="A113" s="5" t="s">
        <v>23</v>
      </c>
      <c r="B113" s="5" t="s">
        <v>92</v>
      </c>
      <c r="C113" s="5" t="s">
        <v>137</v>
      </c>
      <c r="D113" s="6">
        <v>0.2923</v>
      </c>
      <c r="E113" s="6">
        <v>0</v>
      </c>
      <c r="F113" s="6">
        <v>0</v>
      </c>
      <c r="G113" s="6">
        <v>0</v>
      </c>
      <c r="H113" s="6">
        <v>0</v>
      </c>
      <c r="I113" s="6">
        <v>819.75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10">
        <f t="shared" si="4"/>
        <v>820.0423</v>
      </c>
    </row>
    <row r="114" spans="1:18">
      <c r="A114" s="5" t="s">
        <v>23</v>
      </c>
      <c r="B114" s="5" t="s">
        <v>92</v>
      </c>
      <c r="C114" s="5" t="s">
        <v>138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3763.65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10">
        <f t="shared" si="4"/>
        <v>3763.65</v>
      </c>
    </row>
    <row r="115" spans="1:18">
      <c r="A115" s="5" t="s">
        <v>23</v>
      </c>
      <c r="B115" s="5" t="s">
        <v>92</v>
      </c>
      <c r="C115" s="5" t="s">
        <v>139</v>
      </c>
      <c r="D115" s="6">
        <v>0</v>
      </c>
      <c r="E115" s="6">
        <v>4292.27978515625</v>
      </c>
      <c r="F115" s="6">
        <v>0</v>
      </c>
      <c r="G115" s="6">
        <v>0</v>
      </c>
      <c r="H115" s="6">
        <v>0</v>
      </c>
      <c r="I115" s="6">
        <v>113.7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10">
        <f t="shared" si="4"/>
        <v>4405.97978515625</v>
      </c>
    </row>
    <row r="116" spans="1:18">
      <c r="A116" s="5" t="s">
        <v>23</v>
      </c>
      <c r="B116" s="5" t="s">
        <v>92</v>
      </c>
      <c r="C116" s="5" t="s">
        <v>140</v>
      </c>
      <c r="D116" s="6">
        <v>2.8927</v>
      </c>
      <c r="E116" s="6">
        <v>265.320007324219</v>
      </c>
      <c r="F116" s="6">
        <v>0</v>
      </c>
      <c r="G116" s="6">
        <v>1194.40002441406</v>
      </c>
      <c r="H116" s="6">
        <v>0</v>
      </c>
      <c r="I116" s="6">
        <v>9383.55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10">
        <f t="shared" si="4"/>
        <v>10846.1627317383</v>
      </c>
    </row>
    <row r="117" spans="1:18">
      <c r="A117" s="5" t="s">
        <v>23</v>
      </c>
      <c r="B117" s="5" t="s">
        <v>92</v>
      </c>
      <c r="C117" s="5" t="s">
        <v>141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10">
        <f t="shared" si="4"/>
        <v>0</v>
      </c>
    </row>
    <row r="118" spans="1:18">
      <c r="A118" s="5" t="s">
        <v>23</v>
      </c>
      <c r="B118" s="5" t="s">
        <v>92</v>
      </c>
      <c r="C118" s="5" t="s">
        <v>142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156.6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10">
        <f t="shared" si="4"/>
        <v>156.6</v>
      </c>
    </row>
    <row r="119" spans="1:18">
      <c r="A119" s="5" t="s">
        <v>23</v>
      </c>
      <c r="B119" s="5" t="s">
        <v>92</v>
      </c>
      <c r="C119" s="5" t="s">
        <v>143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10">
        <f t="shared" si="4"/>
        <v>0</v>
      </c>
    </row>
    <row r="120" spans="1:18">
      <c r="A120" s="5" t="s">
        <v>23</v>
      </c>
      <c r="B120" s="5" t="s">
        <v>92</v>
      </c>
      <c r="C120" s="5" t="s">
        <v>144</v>
      </c>
      <c r="D120" s="6">
        <v>0.3832</v>
      </c>
      <c r="E120" s="6">
        <v>0</v>
      </c>
      <c r="F120" s="6">
        <v>0</v>
      </c>
      <c r="G120" s="6">
        <v>0</v>
      </c>
      <c r="H120" s="6">
        <v>0</v>
      </c>
      <c r="I120" s="6">
        <v>2.1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10">
        <f t="shared" si="4"/>
        <v>2.4832</v>
      </c>
    </row>
    <row r="121" spans="1:18">
      <c r="A121" s="5" t="s">
        <v>23</v>
      </c>
      <c r="B121" s="5" t="s">
        <v>92</v>
      </c>
      <c r="C121" s="5" t="s">
        <v>145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1169.55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10">
        <f t="shared" si="4"/>
        <v>1169.55</v>
      </c>
    </row>
    <row r="122" spans="1:18">
      <c r="A122" s="5" t="s">
        <v>23</v>
      </c>
      <c r="B122" s="5" t="s">
        <v>92</v>
      </c>
      <c r="C122" s="5" t="s">
        <v>146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76.95</v>
      </c>
      <c r="J122" s="6">
        <v>6226.39013671875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10">
        <f t="shared" si="4"/>
        <v>6303.34013671875</v>
      </c>
    </row>
    <row r="123" spans="1:18">
      <c r="A123" s="5" t="s">
        <v>23</v>
      </c>
      <c r="B123" s="5" t="s">
        <v>92</v>
      </c>
      <c r="C123" s="5" t="s">
        <v>147</v>
      </c>
      <c r="D123" s="6">
        <v>0.5116</v>
      </c>
      <c r="E123" s="6">
        <v>0</v>
      </c>
      <c r="F123" s="6">
        <v>0</v>
      </c>
      <c r="G123" s="6">
        <v>0</v>
      </c>
      <c r="H123" s="6">
        <v>0</v>
      </c>
      <c r="I123" s="6">
        <v>15468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10">
        <f t="shared" si="4"/>
        <v>15468.5116</v>
      </c>
    </row>
    <row r="124" spans="1:18">
      <c r="A124" s="5" t="s">
        <v>23</v>
      </c>
      <c r="B124" s="5" t="s">
        <v>92</v>
      </c>
      <c r="C124" s="5" t="s">
        <v>148</v>
      </c>
      <c r="D124" s="6">
        <v>3.1057</v>
      </c>
      <c r="E124" s="6">
        <v>0</v>
      </c>
      <c r="F124" s="6">
        <v>0</v>
      </c>
      <c r="G124" s="6">
        <v>0</v>
      </c>
      <c r="H124" s="6">
        <v>0</v>
      </c>
      <c r="I124" s="6">
        <v>190521</v>
      </c>
      <c r="J124" s="6">
        <v>80906.546875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10">
        <f t="shared" si="4"/>
        <v>271430.652575</v>
      </c>
    </row>
    <row r="125" spans="1:18">
      <c r="A125" s="5" t="s">
        <v>23</v>
      </c>
      <c r="B125" s="5" t="s">
        <v>92</v>
      </c>
      <c r="C125" s="5" t="s">
        <v>149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381.45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10">
        <f t="shared" si="4"/>
        <v>381.45</v>
      </c>
    </row>
    <row r="126" spans="1:18">
      <c r="A126" s="5" t="s">
        <v>23</v>
      </c>
      <c r="B126" s="5" t="s">
        <v>92</v>
      </c>
      <c r="C126" s="5" t="s">
        <v>150</v>
      </c>
      <c r="D126" s="6">
        <v>1.0872</v>
      </c>
      <c r="E126" s="6">
        <v>0</v>
      </c>
      <c r="F126" s="6">
        <v>0</v>
      </c>
      <c r="G126" s="6">
        <v>795.200012207031</v>
      </c>
      <c r="H126" s="6">
        <v>0</v>
      </c>
      <c r="I126" s="6">
        <v>87.9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10">
        <f t="shared" si="4"/>
        <v>884.187212207031</v>
      </c>
    </row>
    <row r="127" spans="1:18">
      <c r="A127" s="5" t="s">
        <v>23</v>
      </c>
      <c r="B127" s="5" t="s">
        <v>92</v>
      </c>
      <c r="C127" s="5" t="s">
        <v>151</v>
      </c>
      <c r="D127" s="6">
        <v>0.1548</v>
      </c>
      <c r="E127" s="6">
        <v>0</v>
      </c>
      <c r="F127" s="6">
        <v>0</v>
      </c>
      <c r="G127" s="6">
        <v>0</v>
      </c>
      <c r="H127" s="6">
        <v>0</v>
      </c>
      <c r="I127" s="6">
        <v>13.35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10">
        <f t="shared" si="4"/>
        <v>13.5048</v>
      </c>
    </row>
    <row r="128" spans="1:18">
      <c r="A128" s="5" t="s">
        <v>23</v>
      </c>
      <c r="B128" s="5" t="s">
        <v>92</v>
      </c>
      <c r="C128" s="5" t="s">
        <v>152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80.7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10">
        <f t="shared" si="4"/>
        <v>80.7</v>
      </c>
    </row>
    <row r="129" spans="1:18">
      <c r="A129" s="5" t="s">
        <v>23</v>
      </c>
      <c r="B129" s="5" t="s">
        <v>92</v>
      </c>
      <c r="C129" s="5" t="s">
        <v>153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529.2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10">
        <f t="shared" si="4"/>
        <v>529.2</v>
      </c>
    </row>
    <row r="130" spans="1:18">
      <c r="A130" s="5" t="s">
        <v>23</v>
      </c>
      <c r="B130" s="5" t="s">
        <v>92</v>
      </c>
      <c r="C130" s="5" t="s">
        <v>154</v>
      </c>
      <c r="D130" s="6">
        <v>1.8734</v>
      </c>
      <c r="E130" s="6">
        <v>0</v>
      </c>
      <c r="F130" s="6">
        <v>0</v>
      </c>
      <c r="G130" s="6">
        <v>1632</v>
      </c>
      <c r="H130" s="6">
        <v>0</v>
      </c>
      <c r="I130" s="6">
        <v>36.15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10">
        <f t="shared" si="4"/>
        <v>1670.0234</v>
      </c>
    </row>
    <row r="131" spans="1:18">
      <c r="A131" s="5" t="s">
        <v>23</v>
      </c>
      <c r="B131" s="5" t="s">
        <v>92</v>
      </c>
      <c r="C131" s="5" t="s">
        <v>155</v>
      </c>
      <c r="D131" s="6">
        <v>0.1423</v>
      </c>
      <c r="E131" s="6">
        <v>0</v>
      </c>
      <c r="F131" s="6">
        <v>0</v>
      </c>
      <c r="G131" s="6">
        <v>160.399993896484</v>
      </c>
      <c r="H131" s="6">
        <v>0</v>
      </c>
      <c r="I131" s="6">
        <v>1.35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10">
        <f t="shared" si="4"/>
        <v>161.892293896484</v>
      </c>
    </row>
    <row r="132" spans="1:18">
      <c r="A132" s="5" t="s">
        <v>23</v>
      </c>
      <c r="B132" s="5" t="s">
        <v>92</v>
      </c>
      <c r="C132" s="5" t="s">
        <v>156</v>
      </c>
      <c r="D132" s="6">
        <v>0.2038</v>
      </c>
      <c r="E132" s="6">
        <v>0</v>
      </c>
      <c r="F132" s="6">
        <v>0</v>
      </c>
      <c r="G132" s="6">
        <v>0</v>
      </c>
      <c r="H132" s="6">
        <v>0</v>
      </c>
      <c r="I132" s="6">
        <v>0.6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10">
        <f t="shared" si="4"/>
        <v>0.8038</v>
      </c>
    </row>
    <row r="133" spans="1:18">
      <c r="A133" s="5" t="s">
        <v>23</v>
      </c>
      <c r="B133" s="5" t="s">
        <v>92</v>
      </c>
      <c r="C133" s="5" t="s">
        <v>157</v>
      </c>
      <c r="D133" s="6">
        <v>0.5219</v>
      </c>
      <c r="E133" s="6">
        <v>0</v>
      </c>
      <c r="F133" s="6">
        <v>0</v>
      </c>
      <c r="G133" s="6">
        <v>539.200012207031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10">
        <f t="shared" ref="R133:R164" si="5">SUM(D133:Q133)</f>
        <v>539.721912207031</v>
      </c>
    </row>
    <row r="134" spans="1:18">
      <c r="A134" s="5" t="s">
        <v>23</v>
      </c>
      <c r="B134" s="5" t="s">
        <v>92</v>
      </c>
      <c r="C134" s="5" t="s">
        <v>158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0.3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10">
        <f t="shared" si="5"/>
        <v>0.3</v>
      </c>
    </row>
    <row r="135" spans="1:18">
      <c r="A135" s="5" t="s">
        <v>23</v>
      </c>
      <c r="B135" s="5" t="s">
        <v>92</v>
      </c>
      <c r="C135" s="5" t="s">
        <v>159</v>
      </c>
      <c r="D135" s="6">
        <v>0.5155</v>
      </c>
      <c r="E135" s="6">
        <v>0</v>
      </c>
      <c r="F135" s="6">
        <v>0</v>
      </c>
      <c r="G135" s="6">
        <v>0</v>
      </c>
      <c r="H135" s="6">
        <v>0</v>
      </c>
      <c r="I135" s="6">
        <v>349.8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10">
        <f t="shared" si="5"/>
        <v>350.3155</v>
      </c>
    </row>
    <row r="136" spans="1:18">
      <c r="A136" s="5" t="s">
        <v>23</v>
      </c>
      <c r="B136" s="5" t="s">
        <v>92</v>
      </c>
      <c r="C136" s="5" t="s">
        <v>160</v>
      </c>
      <c r="D136" s="6">
        <v>1.2614</v>
      </c>
      <c r="E136" s="6">
        <v>0</v>
      </c>
      <c r="F136" s="6">
        <v>0</v>
      </c>
      <c r="G136" s="6">
        <v>1970.40002441406</v>
      </c>
      <c r="H136" s="6">
        <v>0</v>
      </c>
      <c r="I136" s="6">
        <v>18460.95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10">
        <f t="shared" si="5"/>
        <v>20432.6114244141</v>
      </c>
    </row>
    <row r="137" spans="1:18">
      <c r="A137" s="5" t="s">
        <v>23</v>
      </c>
      <c r="B137" s="5" t="s">
        <v>92</v>
      </c>
      <c r="C137" s="5" t="s">
        <v>161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126.15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10">
        <f t="shared" si="5"/>
        <v>126.15</v>
      </c>
    </row>
    <row r="138" spans="1:18">
      <c r="A138" s="5" t="s">
        <v>23</v>
      </c>
      <c r="B138" s="5" t="s">
        <v>92</v>
      </c>
      <c r="C138" s="5" t="s">
        <v>162</v>
      </c>
      <c r="D138" s="6">
        <v>0.3332</v>
      </c>
      <c r="E138" s="6">
        <v>0</v>
      </c>
      <c r="F138" s="6">
        <v>0</v>
      </c>
      <c r="G138" s="6">
        <v>0</v>
      </c>
      <c r="H138" s="6">
        <v>0</v>
      </c>
      <c r="I138" s="6">
        <v>236.55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10">
        <f t="shared" si="5"/>
        <v>236.8832</v>
      </c>
    </row>
    <row r="139" spans="1:18">
      <c r="A139" s="5" t="s">
        <v>23</v>
      </c>
      <c r="B139" s="5" t="s">
        <v>92</v>
      </c>
      <c r="C139" s="5" t="s">
        <v>163</v>
      </c>
      <c r="D139" s="6">
        <v>0.7782</v>
      </c>
      <c r="E139" s="6">
        <v>0</v>
      </c>
      <c r="F139" s="6">
        <v>0</v>
      </c>
      <c r="G139" s="6">
        <v>1284</v>
      </c>
      <c r="H139" s="6">
        <v>0</v>
      </c>
      <c r="I139" s="6">
        <v>1651.8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10">
        <f t="shared" si="5"/>
        <v>2936.5782</v>
      </c>
    </row>
    <row r="140" spans="1:18">
      <c r="A140" s="5" t="s">
        <v>23</v>
      </c>
      <c r="B140" s="5" t="s">
        <v>92</v>
      </c>
      <c r="C140" s="5" t="s">
        <v>164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484.65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10">
        <f t="shared" si="5"/>
        <v>484.65</v>
      </c>
    </row>
    <row r="141" spans="1:18">
      <c r="A141" s="5" t="s">
        <v>23</v>
      </c>
      <c r="B141" s="5" t="s">
        <v>92</v>
      </c>
      <c r="C141" s="5" t="s">
        <v>165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2729.4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10">
        <f t="shared" si="5"/>
        <v>2729.4</v>
      </c>
    </row>
    <row r="142" spans="1:18">
      <c r="A142" s="5" t="s">
        <v>23</v>
      </c>
      <c r="B142" s="5" t="s">
        <v>92</v>
      </c>
      <c r="C142" s="5" t="s">
        <v>166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144.6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10">
        <f t="shared" si="5"/>
        <v>144.6</v>
      </c>
    </row>
    <row r="143" spans="1:18">
      <c r="A143" s="5" t="s">
        <v>23</v>
      </c>
      <c r="B143" s="5" t="s">
        <v>92</v>
      </c>
      <c r="C143" s="5" t="s">
        <v>167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304.2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10">
        <f t="shared" si="5"/>
        <v>304.2</v>
      </c>
    </row>
    <row r="144" spans="1:18">
      <c r="A144" s="5" t="s">
        <v>23</v>
      </c>
      <c r="B144" s="5" t="s">
        <v>92</v>
      </c>
      <c r="C144" s="5" t="s">
        <v>168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707.85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10">
        <f t="shared" si="5"/>
        <v>707.85</v>
      </c>
    </row>
    <row r="145" spans="1:18">
      <c r="A145" s="5" t="s">
        <v>23</v>
      </c>
      <c r="B145" s="5" t="s">
        <v>92</v>
      </c>
      <c r="C145" s="5" t="s">
        <v>169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466.8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10">
        <f t="shared" si="5"/>
        <v>466.8</v>
      </c>
    </row>
    <row r="146" spans="1:18">
      <c r="A146" s="5" t="s">
        <v>23</v>
      </c>
      <c r="B146" s="5" t="s">
        <v>92</v>
      </c>
      <c r="C146" s="5" t="s">
        <v>170</v>
      </c>
      <c r="D146" s="6">
        <v>0.6959</v>
      </c>
      <c r="E146" s="6">
        <v>0</v>
      </c>
      <c r="F146" s="6">
        <v>0</v>
      </c>
      <c r="G146" s="6">
        <v>0</v>
      </c>
      <c r="H146" s="6">
        <v>0</v>
      </c>
      <c r="I146" s="6">
        <v>411.6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10">
        <f t="shared" si="5"/>
        <v>412.2959</v>
      </c>
    </row>
    <row r="147" spans="1:18">
      <c r="A147" s="5" t="s">
        <v>23</v>
      </c>
      <c r="B147" s="5" t="s">
        <v>92</v>
      </c>
      <c r="C147" s="5" t="s">
        <v>171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329.1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10">
        <f t="shared" si="5"/>
        <v>329.1</v>
      </c>
    </row>
    <row r="148" spans="1:18">
      <c r="A148" s="5" t="s">
        <v>23</v>
      </c>
      <c r="B148" s="5" t="s">
        <v>92</v>
      </c>
      <c r="C148" s="5" t="s">
        <v>172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7011.15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10">
        <f t="shared" si="5"/>
        <v>7011.15</v>
      </c>
    </row>
    <row r="149" spans="1:18">
      <c r="A149" s="5" t="s">
        <v>23</v>
      </c>
      <c r="B149" s="5" t="s">
        <v>92</v>
      </c>
      <c r="C149" s="5" t="s">
        <v>173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477.9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10">
        <f t="shared" si="5"/>
        <v>477.9</v>
      </c>
    </row>
    <row r="150" spans="1:18">
      <c r="A150" s="5" t="s">
        <v>23</v>
      </c>
      <c r="B150" s="5" t="s">
        <v>92</v>
      </c>
      <c r="C150" s="5" t="s">
        <v>174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63.45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10">
        <f t="shared" si="5"/>
        <v>63.45</v>
      </c>
    </row>
    <row r="151" spans="1:18">
      <c r="A151" s="5" t="s">
        <v>23</v>
      </c>
      <c r="B151" s="5" t="s">
        <v>92</v>
      </c>
      <c r="C151" s="5" t="s">
        <v>175</v>
      </c>
      <c r="D151" s="6">
        <v>0.5887</v>
      </c>
      <c r="E151" s="6">
        <v>0</v>
      </c>
      <c r="F151" s="6">
        <v>0</v>
      </c>
      <c r="G151" s="6">
        <v>0</v>
      </c>
      <c r="H151" s="6">
        <v>0</v>
      </c>
      <c r="I151" s="6">
        <v>203.4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10">
        <f t="shared" si="5"/>
        <v>203.9887</v>
      </c>
    </row>
    <row r="152" spans="1:18">
      <c r="A152" s="5" t="s">
        <v>23</v>
      </c>
      <c r="B152" s="5" t="s">
        <v>92</v>
      </c>
      <c r="C152" s="5" t="s">
        <v>176</v>
      </c>
      <c r="D152" s="6">
        <v>0.4306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10">
        <f t="shared" si="5"/>
        <v>0.4306</v>
      </c>
    </row>
    <row r="153" spans="1:18">
      <c r="A153" s="5" t="s">
        <v>23</v>
      </c>
      <c r="B153" s="5" t="s">
        <v>177</v>
      </c>
      <c r="C153" s="5" t="s">
        <v>178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5130.15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10">
        <f t="shared" si="5"/>
        <v>5130.15</v>
      </c>
    </row>
    <row r="154" spans="1:18">
      <c r="A154" s="5" t="s">
        <v>23</v>
      </c>
      <c r="B154" s="5" t="s">
        <v>177</v>
      </c>
      <c r="C154" s="5" t="s">
        <v>179</v>
      </c>
      <c r="D154" s="6">
        <v>0</v>
      </c>
      <c r="E154" s="6">
        <v>1527.47998046875</v>
      </c>
      <c r="F154" s="6">
        <v>0</v>
      </c>
      <c r="G154" s="6">
        <v>0</v>
      </c>
      <c r="H154" s="6">
        <v>0</v>
      </c>
      <c r="I154" s="6">
        <v>84907.2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10">
        <f t="shared" si="5"/>
        <v>86434.6799804687</v>
      </c>
    </row>
    <row r="155" spans="1:18">
      <c r="A155" s="5" t="s">
        <v>23</v>
      </c>
      <c r="B155" s="5" t="s">
        <v>177</v>
      </c>
      <c r="C155" s="5" t="s">
        <v>180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10">
        <f t="shared" si="5"/>
        <v>0</v>
      </c>
    </row>
    <row r="156" spans="1:18">
      <c r="A156" s="5" t="s">
        <v>23</v>
      </c>
      <c r="B156" s="5" t="s">
        <v>177</v>
      </c>
      <c r="C156" s="5" t="s">
        <v>181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1620.75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10">
        <f t="shared" si="5"/>
        <v>1620.75</v>
      </c>
    </row>
    <row r="157" spans="1:18">
      <c r="A157" s="5" t="s">
        <v>23</v>
      </c>
      <c r="B157" s="5" t="s">
        <v>177</v>
      </c>
      <c r="C157" s="5" t="s">
        <v>182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370072.8</v>
      </c>
      <c r="J157" s="6">
        <v>75860.828125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10">
        <f t="shared" si="5"/>
        <v>445933.628125</v>
      </c>
    </row>
    <row r="158" spans="1:18">
      <c r="A158" s="5" t="s">
        <v>23</v>
      </c>
      <c r="B158" s="5" t="s">
        <v>177</v>
      </c>
      <c r="C158" s="5" t="s">
        <v>183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345062.1</v>
      </c>
      <c r="J158" s="6">
        <v>91597.53125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10">
        <f t="shared" si="5"/>
        <v>436659.63125</v>
      </c>
    </row>
    <row r="159" spans="1:18">
      <c r="A159" s="5" t="s">
        <v>23</v>
      </c>
      <c r="B159" s="5" t="s">
        <v>177</v>
      </c>
      <c r="C159" s="5" t="s">
        <v>184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145540.5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10">
        <f t="shared" si="5"/>
        <v>145540.5</v>
      </c>
    </row>
    <row r="160" spans="1:18">
      <c r="A160" s="5" t="s">
        <v>23</v>
      </c>
      <c r="B160" s="5" t="s">
        <v>177</v>
      </c>
      <c r="C160" s="5" t="s">
        <v>185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1.2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10">
        <f t="shared" si="5"/>
        <v>1.2</v>
      </c>
    </row>
    <row r="161" spans="1:18">
      <c r="A161" s="5" t="s">
        <v>23</v>
      </c>
      <c r="B161" s="5" t="s">
        <v>177</v>
      </c>
      <c r="C161" s="5" t="s">
        <v>186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846417.15</v>
      </c>
      <c r="J161" s="6">
        <v>236602.734375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10">
        <f t="shared" si="5"/>
        <v>1083019.884375</v>
      </c>
    </row>
    <row r="162" spans="1:18">
      <c r="A162" s="5" t="s">
        <v>23</v>
      </c>
      <c r="B162" s="5" t="s">
        <v>177</v>
      </c>
      <c r="C162" s="5" t="s">
        <v>187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1333.8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10">
        <f t="shared" si="5"/>
        <v>1333.8</v>
      </c>
    </row>
    <row r="163" spans="1:18">
      <c r="A163" s="5" t="s">
        <v>23</v>
      </c>
      <c r="B163" s="5" t="s">
        <v>177</v>
      </c>
      <c r="C163" s="5" t="s">
        <v>188</v>
      </c>
      <c r="D163" s="6">
        <v>0</v>
      </c>
      <c r="E163" s="6">
        <v>303.119995117188</v>
      </c>
      <c r="F163" s="6">
        <v>0</v>
      </c>
      <c r="G163" s="6">
        <v>0</v>
      </c>
      <c r="H163" s="6">
        <v>0</v>
      </c>
      <c r="I163" s="6">
        <v>112800</v>
      </c>
      <c r="J163" s="6">
        <v>83342.703125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10">
        <f t="shared" si="5"/>
        <v>196445.823120117</v>
      </c>
    </row>
    <row r="164" spans="1:18">
      <c r="A164" s="5" t="s">
        <v>23</v>
      </c>
      <c r="B164" s="5" t="s">
        <v>177</v>
      </c>
      <c r="C164" s="5" t="s">
        <v>189</v>
      </c>
      <c r="D164" s="6">
        <v>0</v>
      </c>
      <c r="E164" s="6">
        <v>842.760009765625</v>
      </c>
      <c r="F164" s="6">
        <v>0</v>
      </c>
      <c r="G164" s="6">
        <v>0</v>
      </c>
      <c r="H164" s="6">
        <v>0</v>
      </c>
      <c r="I164" s="6">
        <v>363008.55</v>
      </c>
      <c r="J164" s="6">
        <v>136608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10">
        <f t="shared" si="5"/>
        <v>500459.310009766</v>
      </c>
    </row>
    <row r="165" spans="1:18">
      <c r="A165" s="5" t="s">
        <v>23</v>
      </c>
      <c r="B165" s="5" t="s">
        <v>177</v>
      </c>
      <c r="C165" s="5" t="s">
        <v>190</v>
      </c>
      <c r="D165" s="6">
        <v>0</v>
      </c>
      <c r="E165" s="6">
        <v>1446.83996582031</v>
      </c>
      <c r="F165" s="6">
        <v>0</v>
      </c>
      <c r="G165" s="6">
        <v>0</v>
      </c>
      <c r="H165" s="6">
        <v>0</v>
      </c>
      <c r="I165" s="6">
        <v>200296.05</v>
      </c>
      <c r="J165" s="6">
        <v>90154.2421875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10">
        <f t="shared" ref="R165:R196" si="6">SUM(D165:Q165)</f>
        <v>291897.13215332</v>
      </c>
    </row>
    <row r="166" spans="1:18">
      <c r="A166" s="5" t="s">
        <v>23</v>
      </c>
      <c r="B166" s="5" t="s">
        <v>177</v>
      </c>
      <c r="C166" s="5" t="s">
        <v>191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932.4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10">
        <f t="shared" si="6"/>
        <v>932.4</v>
      </c>
    </row>
    <row r="167" spans="1:18">
      <c r="A167" s="5" t="s">
        <v>23</v>
      </c>
      <c r="B167" s="5" t="s">
        <v>177</v>
      </c>
      <c r="C167" s="5" t="s">
        <v>192</v>
      </c>
      <c r="D167" s="6">
        <v>0</v>
      </c>
      <c r="E167" s="6">
        <v>705.239990234375</v>
      </c>
      <c r="F167" s="6">
        <v>0</v>
      </c>
      <c r="G167" s="6">
        <v>0</v>
      </c>
      <c r="H167" s="6">
        <v>0</v>
      </c>
      <c r="I167" s="6">
        <v>185038.35</v>
      </c>
      <c r="J167" s="6">
        <v>242125.609375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10">
        <f t="shared" si="6"/>
        <v>427869.199365234</v>
      </c>
    </row>
    <row r="168" spans="1:18">
      <c r="A168" s="5" t="s">
        <v>23</v>
      </c>
      <c r="B168" s="5" t="s">
        <v>177</v>
      </c>
      <c r="C168" s="5" t="s">
        <v>193</v>
      </c>
      <c r="D168" s="6">
        <v>0</v>
      </c>
      <c r="E168" s="6">
        <v>776.159973144531</v>
      </c>
      <c r="F168" s="6">
        <v>0</v>
      </c>
      <c r="G168" s="6">
        <v>0</v>
      </c>
      <c r="H168" s="6">
        <v>0</v>
      </c>
      <c r="I168" s="6">
        <v>288424.5</v>
      </c>
      <c r="J168" s="6">
        <v>102698.1875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10">
        <f t="shared" si="6"/>
        <v>391898.847473145</v>
      </c>
    </row>
    <row r="169" spans="1:18">
      <c r="A169" s="5" t="s">
        <v>23</v>
      </c>
      <c r="B169" s="5" t="s">
        <v>177</v>
      </c>
      <c r="C169" s="5" t="s">
        <v>194</v>
      </c>
      <c r="D169" s="6">
        <v>0</v>
      </c>
      <c r="E169" s="6">
        <v>1510.56005859375</v>
      </c>
      <c r="F169" s="6">
        <v>0</v>
      </c>
      <c r="G169" s="6">
        <v>0</v>
      </c>
      <c r="H169" s="6">
        <v>0</v>
      </c>
      <c r="I169" s="6">
        <v>786732.3</v>
      </c>
      <c r="J169" s="6">
        <v>133881.765625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10">
        <f t="shared" si="6"/>
        <v>922124.625683594</v>
      </c>
    </row>
    <row r="170" spans="1:18">
      <c r="A170" s="5" t="s">
        <v>23</v>
      </c>
      <c r="B170" s="5" t="s">
        <v>177</v>
      </c>
      <c r="C170" s="5" t="s">
        <v>195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4889.1</v>
      </c>
      <c r="J170" s="6">
        <v>101617.640625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10">
        <f t="shared" si="6"/>
        <v>106506.740625</v>
      </c>
    </row>
    <row r="171" spans="1:18">
      <c r="A171" s="5" t="s">
        <v>23</v>
      </c>
      <c r="B171" s="5" t="s">
        <v>196</v>
      </c>
      <c r="C171" s="5" t="s">
        <v>197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513.6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80000</v>
      </c>
      <c r="R171" s="10">
        <f t="shared" si="6"/>
        <v>80513.6</v>
      </c>
    </row>
    <row r="172" spans="1:18">
      <c r="A172" s="5" t="s">
        <v>23</v>
      </c>
      <c r="B172" s="5" t="s">
        <v>198</v>
      </c>
      <c r="C172" s="5" t="s">
        <v>199</v>
      </c>
      <c r="D172" s="6">
        <v>1.516</v>
      </c>
      <c r="E172" s="6">
        <v>0</v>
      </c>
      <c r="F172" s="6">
        <v>0</v>
      </c>
      <c r="G172" s="6">
        <v>0</v>
      </c>
      <c r="H172" s="6">
        <v>0</v>
      </c>
      <c r="I172" s="6">
        <v>4.05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10">
        <f t="shared" si="6"/>
        <v>5.566</v>
      </c>
    </row>
    <row r="173" spans="1:18">
      <c r="A173" s="5" t="s">
        <v>23</v>
      </c>
      <c r="B173" s="5" t="s">
        <v>198</v>
      </c>
      <c r="C173" s="5" t="s">
        <v>200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1.5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10">
        <f t="shared" si="6"/>
        <v>1.5</v>
      </c>
    </row>
    <row r="174" spans="1:18">
      <c r="A174" s="5" t="s">
        <v>23</v>
      </c>
      <c r="B174" s="5" t="s">
        <v>198</v>
      </c>
      <c r="C174" s="5" t="s">
        <v>201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0.3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10">
        <f t="shared" si="6"/>
        <v>0.3</v>
      </c>
    </row>
    <row r="175" spans="1:18">
      <c r="A175" s="5" t="s">
        <v>23</v>
      </c>
      <c r="B175" s="5" t="s">
        <v>198</v>
      </c>
      <c r="C175" s="5" t="s">
        <v>202</v>
      </c>
      <c r="D175" s="6">
        <v>2.919</v>
      </c>
      <c r="E175" s="6">
        <v>0</v>
      </c>
      <c r="F175" s="6">
        <v>0</v>
      </c>
      <c r="G175" s="6">
        <v>42046.80078125</v>
      </c>
      <c r="H175" s="6">
        <v>0</v>
      </c>
      <c r="I175" s="6">
        <v>23.25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10">
        <f t="shared" si="6"/>
        <v>42072.96978125</v>
      </c>
    </row>
    <row r="176" spans="1:18">
      <c r="A176" s="5" t="s">
        <v>23</v>
      </c>
      <c r="B176" s="5" t="s">
        <v>198</v>
      </c>
      <c r="C176" s="5" t="s">
        <v>203</v>
      </c>
      <c r="D176" s="6">
        <v>6.3349</v>
      </c>
      <c r="E176" s="6">
        <v>0</v>
      </c>
      <c r="F176" s="6">
        <v>0</v>
      </c>
      <c r="G176" s="6">
        <v>170092.796875</v>
      </c>
      <c r="H176" s="6">
        <v>0</v>
      </c>
      <c r="I176" s="6">
        <v>8.55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10">
        <f t="shared" si="6"/>
        <v>170107.681775</v>
      </c>
    </row>
    <row r="177" spans="1:18">
      <c r="A177" s="5" t="s">
        <v>23</v>
      </c>
      <c r="B177" s="5" t="s">
        <v>198</v>
      </c>
      <c r="C177" s="5" t="s">
        <v>204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110.7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10">
        <f t="shared" si="6"/>
        <v>110.7</v>
      </c>
    </row>
    <row r="178" spans="1:18">
      <c r="A178" s="5" t="s">
        <v>23</v>
      </c>
      <c r="B178" s="5" t="s">
        <v>198</v>
      </c>
      <c r="C178" s="5" t="s">
        <v>205</v>
      </c>
      <c r="D178" s="6">
        <v>4.6505</v>
      </c>
      <c r="E178" s="6">
        <v>0</v>
      </c>
      <c r="F178" s="6">
        <v>0</v>
      </c>
      <c r="G178" s="6">
        <v>31705.599609375</v>
      </c>
      <c r="H178" s="6">
        <v>0</v>
      </c>
      <c r="I178" s="6">
        <v>30.15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10">
        <f t="shared" si="6"/>
        <v>31740.400109375</v>
      </c>
    </row>
    <row r="179" spans="1:18">
      <c r="A179" s="5" t="s">
        <v>23</v>
      </c>
      <c r="B179" s="5" t="s">
        <v>198</v>
      </c>
      <c r="C179" s="5" t="s">
        <v>206</v>
      </c>
      <c r="D179" s="6">
        <v>2.3899</v>
      </c>
      <c r="E179" s="6">
        <v>0</v>
      </c>
      <c r="F179" s="6">
        <v>0</v>
      </c>
      <c r="G179" s="6">
        <v>112803.203125</v>
      </c>
      <c r="H179" s="6">
        <v>0</v>
      </c>
      <c r="I179" s="6">
        <v>41.25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10">
        <f t="shared" si="6"/>
        <v>112846.843025</v>
      </c>
    </row>
    <row r="180" spans="1:18">
      <c r="A180" s="5" t="s">
        <v>23</v>
      </c>
      <c r="B180" s="5" t="s">
        <v>198</v>
      </c>
      <c r="C180" s="5" t="s">
        <v>207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10">
        <f t="shared" si="6"/>
        <v>0</v>
      </c>
    </row>
    <row r="181" spans="1:18">
      <c r="A181" s="5" t="s">
        <v>23</v>
      </c>
      <c r="B181" s="5" t="s">
        <v>198</v>
      </c>
      <c r="C181" s="5" t="s">
        <v>208</v>
      </c>
      <c r="D181" s="6">
        <v>2.5067</v>
      </c>
      <c r="E181" s="6">
        <v>0</v>
      </c>
      <c r="F181" s="6">
        <v>0</v>
      </c>
      <c r="G181" s="6">
        <v>27108</v>
      </c>
      <c r="H181" s="6">
        <v>0</v>
      </c>
      <c r="I181" s="6">
        <v>0.3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10">
        <f t="shared" si="6"/>
        <v>27110.8067</v>
      </c>
    </row>
    <row r="182" spans="1:18">
      <c r="A182" s="5" t="s">
        <v>23</v>
      </c>
      <c r="B182" s="5" t="s">
        <v>198</v>
      </c>
      <c r="C182" s="5" t="s">
        <v>209</v>
      </c>
      <c r="D182" s="6">
        <v>2.2151</v>
      </c>
      <c r="E182" s="6">
        <v>0</v>
      </c>
      <c r="F182" s="6">
        <v>0</v>
      </c>
      <c r="G182" s="6">
        <v>87953.6015625</v>
      </c>
      <c r="H182" s="6">
        <v>0</v>
      </c>
      <c r="I182" s="6">
        <v>11.7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10">
        <f t="shared" si="6"/>
        <v>87967.5166625</v>
      </c>
    </row>
    <row r="183" spans="1:18">
      <c r="A183" s="5" t="s">
        <v>23</v>
      </c>
      <c r="B183" s="5" t="s">
        <v>198</v>
      </c>
      <c r="C183" s="5" t="s">
        <v>210</v>
      </c>
      <c r="D183" s="6">
        <v>5.0814</v>
      </c>
      <c r="E183" s="6">
        <v>0</v>
      </c>
      <c r="F183" s="6">
        <v>0</v>
      </c>
      <c r="G183" s="6">
        <v>44544</v>
      </c>
      <c r="H183" s="6">
        <v>0</v>
      </c>
      <c r="I183" s="6">
        <v>14.55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10">
        <f t="shared" si="6"/>
        <v>44563.6314</v>
      </c>
    </row>
    <row r="184" spans="1:18">
      <c r="A184" s="5" t="s">
        <v>23</v>
      </c>
      <c r="B184" s="5" t="s">
        <v>198</v>
      </c>
      <c r="C184" s="5" t="s">
        <v>211</v>
      </c>
      <c r="D184" s="6">
        <v>2.3821</v>
      </c>
      <c r="E184" s="6">
        <v>0</v>
      </c>
      <c r="F184" s="6">
        <v>0</v>
      </c>
      <c r="G184" s="6">
        <v>40790</v>
      </c>
      <c r="H184" s="6">
        <v>0</v>
      </c>
      <c r="I184" s="6">
        <v>161.1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10">
        <f t="shared" si="6"/>
        <v>40953.4821</v>
      </c>
    </row>
    <row r="185" spans="1:18">
      <c r="A185" s="5" t="s">
        <v>23</v>
      </c>
      <c r="B185" s="5" t="s">
        <v>198</v>
      </c>
      <c r="C185" s="5" t="s">
        <v>212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327.9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10">
        <f t="shared" si="6"/>
        <v>327.9</v>
      </c>
    </row>
    <row r="186" spans="1:18">
      <c r="A186" s="5" t="s">
        <v>23</v>
      </c>
      <c r="B186" s="5" t="s">
        <v>198</v>
      </c>
      <c r="C186" s="5" t="s">
        <v>213</v>
      </c>
      <c r="D186" s="6">
        <v>7.065</v>
      </c>
      <c r="E186" s="6">
        <v>0</v>
      </c>
      <c r="F186" s="6">
        <v>0</v>
      </c>
      <c r="G186" s="6">
        <v>164100.40625</v>
      </c>
      <c r="H186" s="6">
        <v>0</v>
      </c>
      <c r="I186" s="6">
        <v>0.6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10">
        <f t="shared" si="6"/>
        <v>164108.07125</v>
      </c>
    </row>
    <row r="187" spans="1:18">
      <c r="A187" s="5" t="s">
        <v>23</v>
      </c>
      <c r="B187" s="5" t="s">
        <v>198</v>
      </c>
      <c r="C187" s="5" t="s">
        <v>214</v>
      </c>
      <c r="D187" s="6">
        <v>1.2971</v>
      </c>
      <c r="E187" s="6">
        <v>0</v>
      </c>
      <c r="F187" s="6">
        <v>0</v>
      </c>
      <c r="G187" s="6">
        <v>3739.19995117188</v>
      </c>
      <c r="H187" s="6">
        <v>0</v>
      </c>
      <c r="I187" s="6">
        <v>54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10">
        <f t="shared" si="6"/>
        <v>3794.49705117187</v>
      </c>
    </row>
    <row r="188" spans="1:18">
      <c r="A188" s="5" t="s">
        <v>23</v>
      </c>
      <c r="B188" s="5" t="s">
        <v>198</v>
      </c>
      <c r="C188" s="5" t="s">
        <v>215</v>
      </c>
      <c r="D188" s="6">
        <v>2.9176</v>
      </c>
      <c r="E188" s="6">
        <v>0</v>
      </c>
      <c r="F188" s="6">
        <v>0</v>
      </c>
      <c r="G188" s="6">
        <v>57859.6015625</v>
      </c>
      <c r="H188" s="6">
        <v>0</v>
      </c>
      <c r="I188" s="6">
        <v>85.8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10">
        <f t="shared" si="6"/>
        <v>57948.3191625</v>
      </c>
    </row>
    <row r="189" spans="1:18">
      <c r="A189" s="5" t="s">
        <v>23</v>
      </c>
      <c r="B189" s="5" t="s">
        <v>198</v>
      </c>
      <c r="C189" s="5" t="s">
        <v>216</v>
      </c>
      <c r="D189" s="6">
        <v>0.8095</v>
      </c>
      <c r="E189" s="6">
        <v>0</v>
      </c>
      <c r="F189" s="6">
        <v>0</v>
      </c>
      <c r="G189" s="6">
        <v>4858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10">
        <f t="shared" si="6"/>
        <v>4858.8095</v>
      </c>
    </row>
    <row r="190" spans="1:18">
      <c r="A190" s="5" t="s">
        <v>23</v>
      </c>
      <c r="B190" s="5" t="s">
        <v>198</v>
      </c>
      <c r="C190" s="5" t="s">
        <v>217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112.2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10">
        <f t="shared" si="6"/>
        <v>112.2</v>
      </c>
    </row>
    <row r="191" spans="1:18">
      <c r="A191" s="5" t="s">
        <v>23</v>
      </c>
      <c r="B191" s="5" t="s">
        <v>198</v>
      </c>
      <c r="C191" s="5" t="s">
        <v>218</v>
      </c>
      <c r="D191" s="6">
        <v>5.9915</v>
      </c>
      <c r="E191" s="6">
        <v>0</v>
      </c>
      <c r="F191" s="6">
        <v>0</v>
      </c>
      <c r="G191" s="6">
        <v>19356.80078125</v>
      </c>
      <c r="H191" s="6">
        <v>0</v>
      </c>
      <c r="I191" s="6">
        <v>6046.8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10">
        <f t="shared" si="6"/>
        <v>25409.59228125</v>
      </c>
    </row>
    <row r="192" spans="1:18">
      <c r="A192" s="5" t="s">
        <v>23</v>
      </c>
      <c r="B192" s="5" t="s">
        <v>198</v>
      </c>
      <c r="C192" s="5" t="s">
        <v>219</v>
      </c>
      <c r="D192" s="6">
        <v>0.999</v>
      </c>
      <c r="E192" s="6">
        <v>0</v>
      </c>
      <c r="F192" s="6">
        <v>0</v>
      </c>
      <c r="G192" s="6">
        <v>21938</v>
      </c>
      <c r="H192" s="6">
        <v>0</v>
      </c>
      <c r="I192" s="6">
        <v>29349.75</v>
      </c>
      <c r="J192" s="6">
        <v>3747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10">
        <f t="shared" si="6"/>
        <v>55035.749</v>
      </c>
    </row>
    <row r="193" spans="1:18">
      <c r="A193" s="5" t="s">
        <v>23</v>
      </c>
      <c r="B193" s="5" t="s">
        <v>198</v>
      </c>
      <c r="C193" s="5" t="s">
        <v>220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0.9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10">
        <f t="shared" si="6"/>
        <v>0.9</v>
      </c>
    </row>
    <row r="194" spans="1:18">
      <c r="A194" s="5" t="s">
        <v>23</v>
      </c>
      <c r="B194" s="5" t="s">
        <v>198</v>
      </c>
      <c r="C194" s="5" t="s">
        <v>221</v>
      </c>
      <c r="D194" s="6">
        <v>14.236</v>
      </c>
      <c r="E194" s="6">
        <v>0</v>
      </c>
      <c r="F194" s="6">
        <v>0</v>
      </c>
      <c r="G194" s="6">
        <v>233432.796875</v>
      </c>
      <c r="H194" s="6">
        <v>0</v>
      </c>
      <c r="I194" s="6">
        <v>121.65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10">
        <f t="shared" si="6"/>
        <v>233568.682875</v>
      </c>
    </row>
    <row r="195" spans="1:18">
      <c r="A195" s="5" t="s">
        <v>23</v>
      </c>
      <c r="B195" s="5" t="s">
        <v>198</v>
      </c>
      <c r="C195" s="5" t="s">
        <v>222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10">
        <f t="shared" si="6"/>
        <v>0</v>
      </c>
    </row>
    <row r="196" spans="1:18">
      <c r="A196" s="5" t="s">
        <v>23</v>
      </c>
      <c r="B196" s="5" t="s">
        <v>198</v>
      </c>
      <c r="C196" s="5" t="s">
        <v>223</v>
      </c>
      <c r="D196" s="6">
        <v>4.6998</v>
      </c>
      <c r="E196" s="6">
        <v>0</v>
      </c>
      <c r="F196" s="6">
        <v>0</v>
      </c>
      <c r="G196" s="6">
        <v>202406</v>
      </c>
      <c r="H196" s="6">
        <v>0</v>
      </c>
      <c r="I196" s="6">
        <v>24.6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10">
        <f t="shared" si="6"/>
        <v>202435.2998</v>
      </c>
    </row>
    <row r="197" spans="1:18">
      <c r="A197" s="5" t="s">
        <v>23</v>
      </c>
      <c r="B197" s="5" t="s">
        <v>198</v>
      </c>
      <c r="C197" s="5" t="s">
        <v>224</v>
      </c>
      <c r="D197" s="6">
        <v>7.281</v>
      </c>
      <c r="E197" s="6">
        <v>0</v>
      </c>
      <c r="F197" s="6">
        <v>0</v>
      </c>
      <c r="G197" s="6">
        <v>59243.19921875</v>
      </c>
      <c r="H197" s="6">
        <v>0</v>
      </c>
      <c r="I197" s="6">
        <v>574.35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10">
        <f>SUM(D197:Q197)</f>
        <v>59824.83021875</v>
      </c>
    </row>
  </sheetData>
  <mergeCells count="2">
    <mergeCell ref="A1:R1"/>
    <mergeCell ref="R2:R3"/>
  </mergeCells>
  <pageMargins left="0.699305555555556" right="0.699305555555556" top="0.75" bottom="0.75" header="0.3" footer="0.3"/>
  <pageSetup paperSize="9" orientation="portrait"/>
  <headerFooter/>
  <ignoredErrors>
    <ignoredError sqref="H3 C2 I2 I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adminsys</cp:lastModifiedBy>
  <dcterms:created xsi:type="dcterms:W3CDTF">2022-09-28T06:10:00Z</dcterms:created>
  <dcterms:modified xsi:type="dcterms:W3CDTF">2026-02-09T12:06:18Z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