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080" windowHeight="13065"/>
  </bookViews>
  <sheets>
    <sheet name="工作表" sheetId="1" r:id="rId1"/>
  </sheets>
  <calcPr calcId="144525"/>
</workbook>
</file>

<file path=xl/sharedStrings.xml><?xml version="1.0" encoding="utf-8"?>
<sst xmlns="http://schemas.openxmlformats.org/spreadsheetml/2006/main" count="231">
  <si>
    <t>2026年4月补偿分项费用</t>
  </si>
  <si>
    <t>有偿一次调频补偿</t>
  </si>
  <si>
    <t>自动发电控制补偿</t>
  </si>
  <si>
    <t>自动功率控制补偿</t>
  </si>
  <si>
    <t>低频调节补偿</t>
  </si>
  <si>
    <t>有偿调峰补偿</t>
  </si>
  <si>
    <t>有偿无功补偿</t>
  </si>
  <si>
    <t>自动电压控制补偿</t>
  </si>
  <si>
    <t>备用补偿</t>
  </si>
  <si>
    <t>有偿转动惯量补偿</t>
  </si>
  <si>
    <t>爬坡补偿</t>
  </si>
  <si>
    <t>稳定切机补偿</t>
  </si>
  <si>
    <t>稳定切负荷补偿</t>
  </si>
  <si>
    <t>快速甩负荷FCB补偿</t>
  </si>
  <si>
    <t>黑启动补偿</t>
  </si>
  <si>
    <t>补偿费用</t>
  </si>
  <si>
    <t>调度</t>
  </si>
  <si>
    <t>类型</t>
  </si>
  <si>
    <t>并网主体</t>
  </si>
  <si>
    <t>补偿费用（元）</t>
  </si>
  <si>
    <t>补偿费用(元)</t>
  </si>
  <si>
    <t>合计（元）</t>
  </si>
  <si>
    <t/>
  </si>
  <si>
    <t>本月汇总</t>
  </si>
  <si>
    <t>浙江省调</t>
  </si>
  <si>
    <t>火电</t>
  </si>
  <si>
    <t>北二厂</t>
  </si>
  <si>
    <t>北仑厂</t>
  </si>
  <si>
    <t>北三厂</t>
  </si>
  <si>
    <t>北四厂</t>
  </si>
  <si>
    <t>苍二厂</t>
  </si>
  <si>
    <t>苍南厂</t>
  </si>
  <si>
    <t>曹娥江</t>
  </si>
  <si>
    <t>长二厂</t>
  </si>
  <si>
    <t>长兴厂</t>
  </si>
  <si>
    <t>大崧厂</t>
  </si>
  <si>
    <t>嘉二厂</t>
  </si>
  <si>
    <t>嘉兴厂</t>
  </si>
  <si>
    <t>巨化厂</t>
  </si>
  <si>
    <t>兰溪厂</t>
  </si>
  <si>
    <t>朗熹电厂</t>
  </si>
  <si>
    <t>朗熹发电厂</t>
  </si>
  <si>
    <t>乐清厂</t>
  </si>
  <si>
    <t>六横厂</t>
  </si>
  <si>
    <t>牛山厂</t>
  </si>
  <si>
    <t>强蛟厂</t>
  </si>
  <si>
    <t>胜龙厂</t>
  </si>
  <si>
    <t>台塑厂</t>
  </si>
  <si>
    <t>台州厂</t>
  </si>
  <si>
    <t>温二厂</t>
  </si>
  <si>
    <t>温州厂</t>
  </si>
  <si>
    <t>温州三厂</t>
  </si>
  <si>
    <t>乌沙山</t>
  </si>
  <si>
    <t>玉环厂</t>
  </si>
  <si>
    <t>招宝山</t>
  </si>
  <si>
    <t>水电</t>
  </si>
  <si>
    <t>丰源厂</t>
  </si>
  <si>
    <t>黄坛口</t>
  </si>
  <si>
    <t>三溪口</t>
  </si>
  <si>
    <t>珊溪厂</t>
  </si>
  <si>
    <t>石水厂</t>
  </si>
  <si>
    <t>滩坑厂</t>
  </si>
  <si>
    <t>乌水厂</t>
  </si>
  <si>
    <t>小溪厂</t>
  </si>
  <si>
    <t>抽蓄</t>
  </si>
  <si>
    <t>宁蓄厂</t>
  </si>
  <si>
    <t>核电</t>
  </si>
  <si>
    <t>秦山厂</t>
  </si>
  <si>
    <t>三澳核电</t>
  </si>
  <si>
    <t>三门厂</t>
  </si>
  <si>
    <t>燃机</t>
  </si>
  <si>
    <t>半燃厂</t>
  </si>
  <si>
    <t>常山厂</t>
  </si>
  <si>
    <t>长燃厂</t>
  </si>
  <si>
    <t>德能厂</t>
  </si>
  <si>
    <t>华舜厂</t>
  </si>
  <si>
    <t>吉能厂</t>
  </si>
  <si>
    <t>江东厂</t>
  </si>
  <si>
    <t>金二厂</t>
  </si>
  <si>
    <t>金燃厂</t>
  </si>
  <si>
    <t>柯城厂</t>
  </si>
  <si>
    <t>蓝天厂</t>
  </si>
  <si>
    <t>龙湾厂</t>
  </si>
  <si>
    <t>龙游厂</t>
  </si>
  <si>
    <t>梅溪燃机</t>
  </si>
  <si>
    <t>唐绍厂</t>
  </si>
  <si>
    <t>桐燃厂</t>
  </si>
  <si>
    <t>下沙厂</t>
  </si>
  <si>
    <t>萧燃厂</t>
  </si>
  <si>
    <t>新城厂</t>
  </si>
  <si>
    <t>新泓口</t>
  </si>
  <si>
    <t>浔宝厂</t>
  </si>
  <si>
    <t>婺城燃机</t>
  </si>
  <si>
    <t>220kV镇海发电厂</t>
  </si>
  <si>
    <t>光伏</t>
  </si>
  <si>
    <t>安南光伏站</t>
  </si>
  <si>
    <t>白渔站</t>
  </si>
  <si>
    <t>百益站</t>
  </si>
  <si>
    <t>草荡站</t>
  </si>
  <si>
    <t>潮汐站</t>
  </si>
  <si>
    <t>大呈站</t>
  </si>
  <si>
    <t>大涂站</t>
  </si>
  <si>
    <t>大柘站</t>
  </si>
  <si>
    <t>道太站</t>
  </si>
  <si>
    <t>登步站</t>
  </si>
  <si>
    <t>汾口站</t>
  </si>
  <si>
    <t>风凌站</t>
  </si>
  <si>
    <t>广洋站</t>
  </si>
  <si>
    <t>海韵站</t>
  </si>
  <si>
    <t>合村光伏站</t>
  </si>
  <si>
    <t>亨泰站</t>
  </si>
  <si>
    <t>宏塔站</t>
  </si>
  <si>
    <t>华博站</t>
  </si>
  <si>
    <t>华芳光伏站</t>
  </si>
  <si>
    <t>华塘站</t>
  </si>
  <si>
    <t>华洋光伏站</t>
  </si>
  <si>
    <t>汇核站</t>
  </si>
  <si>
    <t>汇能站</t>
  </si>
  <si>
    <t>嘉厂站</t>
  </si>
  <si>
    <t>嘉达光伏站</t>
  </si>
  <si>
    <t>佳源站</t>
  </si>
  <si>
    <t>江泰站</t>
  </si>
  <si>
    <t>晶都光伏站</t>
  </si>
  <si>
    <t>晶科站</t>
  </si>
  <si>
    <t>柯泰站</t>
  </si>
  <si>
    <t>兰晶站</t>
  </si>
  <si>
    <t>乐厂站</t>
  </si>
  <si>
    <t>乐泰站</t>
  </si>
  <si>
    <t>里墅站</t>
  </si>
  <si>
    <t>莲花站</t>
  </si>
  <si>
    <t>莲塘站</t>
  </si>
  <si>
    <t>莲岙站</t>
  </si>
  <si>
    <t>凌光站</t>
  </si>
  <si>
    <t>六厂站</t>
  </si>
  <si>
    <t>龙河站</t>
  </si>
  <si>
    <t>龙翔站</t>
  </si>
  <si>
    <t>吕岗站</t>
  </si>
  <si>
    <t>绿能站</t>
  </si>
  <si>
    <t>宁厂站</t>
  </si>
  <si>
    <t>磐新站</t>
  </si>
  <si>
    <t>钱凌光伏站</t>
  </si>
  <si>
    <t>青源站</t>
  </si>
  <si>
    <t>清港站</t>
  </si>
  <si>
    <t>秋塘站</t>
  </si>
  <si>
    <t>日升站</t>
  </si>
  <si>
    <t>融源站</t>
  </si>
  <si>
    <t>盛林站</t>
  </si>
  <si>
    <t>舒能站</t>
  </si>
  <si>
    <t>舒奇站</t>
  </si>
  <si>
    <t>舒泰站</t>
  </si>
  <si>
    <t>泰瀚站</t>
  </si>
  <si>
    <t>碳银光伏站</t>
  </si>
  <si>
    <t>唐景站</t>
  </si>
  <si>
    <t>唐屿站</t>
  </si>
  <si>
    <t>唐源站</t>
  </si>
  <si>
    <t>唐云光伏</t>
  </si>
  <si>
    <t>唐鳌站</t>
  </si>
  <si>
    <t>桃溪站</t>
  </si>
  <si>
    <t>万市站</t>
  </si>
  <si>
    <t>万投站</t>
  </si>
  <si>
    <t>乌厂站</t>
  </si>
  <si>
    <t>武川站</t>
  </si>
  <si>
    <t>溪仑站</t>
  </si>
  <si>
    <t>夏湖站</t>
  </si>
  <si>
    <t>仙丰站</t>
  </si>
  <si>
    <t>祥晖站</t>
  </si>
  <si>
    <t>向阳站</t>
  </si>
  <si>
    <t>协能站</t>
  </si>
  <si>
    <t>欣埠站</t>
  </si>
  <si>
    <t>兴能光伏站</t>
  </si>
  <si>
    <t>雅田站</t>
  </si>
  <si>
    <t>益凌站</t>
  </si>
  <si>
    <t>源凌站</t>
  </si>
  <si>
    <t>正能站</t>
  </si>
  <si>
    <t>中节站</t>
  </si>
  <si>
    <t>岚能站</t>
  </si>
  <si>
    <t>岱涂站</t>
  </si>
  <si>
    <t>梓勋光伏站</t>
  </si>
  <si>
    <t>瓯泰站</t>
  </si>
  <si>
    <t>蛟禾站</t>
  </si>
  <si>
    <t>风电</t>
  </si>
  <si>
    <t>百花场</t>
  </si>
  <si>
    <t>苍海场</t>
  </si>
  <si>
    <t>大衢风电</t>
  </si>
  <si>
    <t>鼎峰场</t>
  </si>
  <si>
    <t>福海风电</t>
  </si>
  <si>
    <t>干江场</t>
  </si>
  <si>
    <t>海州场</t>
  </si>
  <si>
    <t>禾海场</t>
  </si>
  <si>
    <t>红山场</t>
  </si>
  <si>
    <t>嘉海场</t>
  </si>
  <si>
    <t>龙母场</t>
  </si>
  <si>
    <t>普陀场</t>
  </si>
  <si>
    <t>润海场</t>
  </si>
  <si>
    <t>涂海场</t>
  </si>
  <si>
    <t>维新场</t>
  </si>
  <si>
    <t>象海场</t>
  </si>
  <si>
    <t>鱼海场</t>
  </si>
  <si>
    <t>玉海场</t>
  </si>
  <si>
    <t>岱山场</t>
  </si>
  <si>
    <t>储能</t>
  </si>
  <si>
    <t>长电储能</t>
  </si>
  <si>
    <t>大有储能</t>
  </si>
  <si>
    <t>定海储能</t>
  </si>
  <si>
    <t>丰门储能</t>
  </si>
  <si>
    <t>郭溪储能</t>
  </si>
  <si>
    <t>国宏储能</t>
  </si>
  <si>
    <t>杭临储能</t>
  </si>
  <si>
    <t>恒新储能</t>
  </si>
  <si>
    <t>江电储能</t>
  </si>
  <si>
    <t>交安储能</t>
  </si>
  <si>
    <t>晶网储能</t>
  </si>
  <si>
    <t>京能储能</t>
  </si>
  <si>
    <t>柯林储能</t>
  </si>
  <si>
    <t>蓝电储能</t>
  </si>
  <si>
    <t>利星储能</t>
  </si>
  <si>
    <t>绿建储能</t>
  </si>
  <si>
    <t>启泰储能</t>
  </si>
  <si>
    <t>泉电储能</t>
  </si>
  <si>
    <t>日昇储能</t>
  </si>
  <si>
    <t>顺发储能</t>
  </si>
  <si>
    <t>万义储能</t>
  </si>
  <si>
    <t>萧电储能</t>
  </si>
  <si>
    <t>萧开储能</t>
  </si>
  <si>
    <t>欣元储能</t>
  </si>
  <si>
    <t>新亭储能</t>
  </si>
  <si>
    <t>星兰储能</t>
  </si>
  <si>
    <t>剡中储能</t>
  </si>
  <si>
    <t>虚拟电厂</t>
  </si>
  <si>
    <t>华能浙江能源聚合中心</t>
  </si>
  <si>
    <t>浙能虚拟能源聚合中心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</si>
</sst>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4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3" borderId="7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" fillId="2" borderId="3" applyNumberFormat="0" applyAlignment="0" applyProtection="0">
      <alignment vertical="center"/>
    </xf>
    <xf numFmtId="0" fontId="6" fillId="2" borderId="6" applyNumberFormat="0" applyAlignment="0" applyProtection="0">
      <alignment vertical="center"/>
    </xf>
    <xf numFmtId="0" fontId="15" fillId="18" borderId="9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201"/>
  <sheetViews>
    <sheetView tabSelected="1" topLeftCell="H1" workbookViewId="0">
      <selection activeCell="S6" sqref="S6"/>
    </sheetView>
  </sheetViews>
  <sheetFormatPr defaultColWidth="11" defaultRowHeight="14.25"/>
  <cols>
    <col min="2" max="2" width="8.5" style="1"/>
    <col min="3" max="3" width="14.1916666666667" customWidth="1"/>
    <col min="4" max="4" width="17.625" customWidth="1"/>
    <col min="5" max="5" width="18.1916666666667" customWidth="1"/>
    <col min="6" max="6" width="17.125" customWidth="1"/>
    <col min="7" max="7" width="16.3166666666667" style="2" customWidth="1"/>
    <col min="8" max="8" width="15.3166666666667" customWidth="1"/>
    <col min="9" max="10" width="16.3166666666667" customWidth="1"/>
    <col min="11" max="11" width="23.1916666666667" customWidth="1"/>
    <col min="12" max="12" width="19" customWidth="1"/>
    <col min="14" max="14" width="17.75" customWidth="1"/>
    <col min="15" max="15" width="18.125" customWidth="1"/>
    <col min="16" max="16" width="18.5666666666667" customWidth="1"/>
    <col min="17" max="17" width="16.3166666666667" customWidth="1"/>
    <col min="18" max="18" width="18" customWidth="1"/>
    <col min="19" max="19" width="12.625"/>
  </cols>
  <sheetData>
    <row r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="1" customFormat="1" spans="1:18">
      <c r="A2" s="4"/>
      <c r="B2" s="4"/>
      <c r="C2" s="4"/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</row>
    <row r="3" s="1" customFormat="1" spans="1:18">
      <c r="A3" s="3" t="s">
        <v>16</v>
      </c>
      <c r="B3" s="3" t="s">
        <v>17</v>
      </c>
      <c r="C3" s="6" t="s">
        <v>18</v>
      </c>
      <c r="D3" s="3" t="s">
        <v>19</v>
      </c>
      <c r="E3" s="3" t="s">
        <v>20</v>
      </c>
      <c r="F3" s="3" t="s">
        <v>19</v>
      </c>
      <c r="G3" s="3" t="s">
        <v>19</v>
      </c>
      <c r="H3" s="3" t="s">
        <v>20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19</v>
      </c>
      <c r="Q3" s="3" t="s">
        <v>19</v>
      </c>
      <c r="R3" s="3" t="s">
        <v>21</v>
      </c>
    </row>
    <row r="4" s="1" customFormat="1" spans="1:18">
      <c r="A4" s="3" t="s">
        <v>22</v>
      </c>
      <c r="B4" s="3" t="s">
        <v>22</v>
      </c>
      <c r="C4" s="3" t="s">
        <v>23</v>
      </c>
      <c r="D4" s="6">
        <v>331700.3494</v>
      </c>
      <c r="E4" s="6">
        <v>2867374.7815</v>
      </c>
      <c r="F4" s="6">
        <v>0</v>
      </c>
      <c r="G4" s="6">
        <v>16335387.6</v>
      </c>
      <c r="H4" s="6">
        <v>32078603.536096</v>
      </c>
      <c r="I4" s="6">
        <v>5398924.6005</v>
      </c>
      <c r="J4" s="6">
        <v>18605184.0307</v>
      </c>
      <c r="K4" s="6">
        <v>29129150.5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280000</v>
      </c>
      <c r="R4" s="7">
        <f>SUM(R5:R201)</f>
        <v>105026325.398196</v>
      </c>
    </row>
    <row r="5" spans="1:18">
      <c r="A5" s="3" t="s">
        <v>24</v>
      </c>
      <c r="B5" s="3" t="s">
        <v>25</v>
      </c>
      <c r="C5" s="3" t="s">
        <v>26</v>
      </c>
      <c r="D5" s="6">
        <v>13310.7718</v>
      </c>
      <c r="E5" s="6">
        <v>0</v>
      </c>
      <c r="F5" s="6">
        <v>0</v>
      </c>
      <c r="G5" s="6">
        <v>503167.6</v>
      </c>
      <c r="H5" s="6">
        <v>519349.579</v>
      </c>
      <c r="I5" s="6">
        <v>4480.068</v>
      </c>
      <c r="J5" s="6">
        <v>644767.2</v>
      </c>
      <c r="K5" s="6">
        <v>708538.5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7">
        <f>SUM(D5:Q5)</f>
        <v>2393613.7188</v>
      </c>
    </row>
    <row r="6" spans="1:18">
      <c r="A6" s="3" t="s">
        <v>24</v>
      </c>
      <c r="B6" s="3" t="s">
        <v>25</v>
      </c>
      <c r="C6" s="3" t="s">
        <v>27</v>
      </c>
      <c r="D6" s="6">
        <v>6402.0542</v>
      </c>
      <c r="E6" s="6">
        <v>0</v>
      </c>
      <c r="F6" s="6">
        <v>0</v>
      </c>
      <c r="G6" s="6">
        <v>281553.2</v>
      </c>
      <c r="H6" s="6">
        <v>39.71</v>
      </c>
      <c r="I6" s="6">
        <v>2704.0425</v>
      </c>
      <c r="J6" s="6">
        <v>301269.15</v>
      </c>
      <c r="K6" s="6">
        <v>455166.5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7">
        <f t="shared" ref="R6:R45" si="0">SUM(D6:Q6)</f>
        <v>1047134.6567</v>
      </c>
    </row>
    <row r="7" spans="1:18">
      <c r="A7" s="3" t="s">
        <v>24</v>
      </c>
      <c r="B7" s="3" t="s">
        <v>25</v>
      </c>
      <c r="C7" s="3" t="s">
        <v>28</v>
      </c>
      <c r="D7" s="6">
        <v>14735.4438</v>
      </c>
      <c r="E7" s="6">
        <v>0</v>
      </c>
      <c r="F7" s="6">
        <v>0</v>
      </c>
      <c r="G7" s="6">
        <v>518112.8</v>
      </c>
      <c r="H7" s="6">
        <v>768929.514</v>
      </c>
      <c r="I7" s="6">
        <v>1300.362</v>
      </c>
      <c r="J7" s="6">
        <v>657620.25</v>
      </c>
      <c r="K7" s="6">
        <v>1184950.5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7">
        <f t="shared" si="0"/>
        <v>3145648.8698</v>
      </c>
    </row>
    <row r="8" spans="1:18">
      <c r="A8" s="3" t="s">
        <v>24</v>
      </c>
      <c r="B8" s="3" t="s">
        <v>25</v>
      </c>
      <c r="C8" s="3" t="s">
        <v>29</v>
      </c>
      <c r="D8" s="6">
        <v>12743.961</v>
      </c>
      <c r="E8" s="6">
        <v>0</v>
      </c>
      <c r="F8" s="6">
        <v>0</v>
      </c>
      <c r="G8" s="6">
        <v>566857.2</v>
      </c>
      <c r="H8" s="6">
        <v>94540.54</v>
      </c>
      <c r="I8" s="6">
        <v>1862.7525</v>
      </c>
      <c r="J8" s="6">
        <v>631905</v>
      </c>
      <c r="K8" s="6">
        <v>989363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7">
        <f t="shared" si="0"/>
        <v>2297272.4535</v>
      </c>
    </row>
    <row r="9" spans="1:18">
      <c r="A9" s="3" t="s">
        <v>24</v>
      </c>
      <c r="B9" s="3" t="s">
        <v>25</v>
      </c>
      <c r="C9" s="3" t="s">
        <v>30</v>
      </c>
      <c r="D9" s="6">
        <v>12591.5761</v>
      </c>
      <c r="E9" s="6">
        <v>0</v>
      </c>
      <c r="F9" s="6">
        <v>0</v>
      </c>
      <c r="G9" s="6">
        <v>615464.8</v>
      </c>
      <c r="H9" s="6">
        <v>0</v>
      </c>
      <c r="I9" s="6">
        <v>0</v>
      </c>
      <c r="J9" s="6">
        <v>687010</v>
      </c>
      <c r="K9" s="6">
        <v>1493799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7">
        <f t="shared" si="0"/>
        <v>2808865.3761</v>
      </c>
    </row>
    <row r="10" spans="1:18">
      <c r="A10" s="3" t="s">
        <v>24</v>
      </c>
      <c r="B10" s="3" t="s">
        <v>25</v>
      </c>
      <c r="C10" s="3" t="s">
        <v>31</v>
      </c>
      <c r="D10" s="6">
        <v>15883.3946</v>
      </c>
      <c r="E10" s="6">
        <v>0</v>
      </c>
      <c r="F10" s="6">
        <v>0</v>
      </c>
      <c r="G10" s="6">
        <v>538010.4</v>
      </c>
      <c r="H10" s="6">
        <v>783636.6256</v>
      </c>
      <c r="I10" s="6">
        <v>30.045</v>
      </c>
      <c r="J10" s="6">
        <v>685949.1</v>
      </c>
      <c r="K10" s="6">
        <v>691893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7">
        <f t="shared" si="0"/>
        <v>2715402.5652</v>
      </c>
    </row>
    <row r="11" spans="1:18">
      <c r="A11" s="3" t="s">
        <v>24</v>
      </c>
      <c r="B11" s="3" t="s">
        <v>25</v>
      </c>
      <c r="C11" s="3" t="s">
        <v>32</v>
      </c>
      <c r="D11" s="6">
        <v>6037.2038</v>
      </c>
      <c r="E11" s="6">
        <v>0</v>
      </c>
      <c r="F11" s="6">
        <v>0</v>
      </c>
      <c r="G11" s="6">
        <v>275952.4</v>
      </c>
      <c r="H11" s="6">
        <v>509971.654566</v>
      </c>
      <c r="I11" s="6">
        <v>267647.103</v>
      </c>
      <c r="J11" s="6">
        <v>242607.72</v>
      </c>
      <c r="K11" s="6">
        <v>768183.5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7">
        <f t="shared" si="0"/>
        <v>2070399.581366</v>
      </c>
    </row>
    <row r="12" spans="1:18">
      <c r="A12" s="3" t="s">
        <v>24</v>
      </c>
      <c r="B12" s="3" t="s">
        <v>25</v>
      </c>
      <c r="C12" s="3" t="s">
        <v>33</v>
      </c>
      <c r="D12" s="6">
        <v>9811.9374</v>
      </c>
      <c r="E12" s="6">
        <v>0</v>
      </c>
      <c r="F12" s="6">
        <v>0</v>
      </c>
      <c r="G12" s="6">
        <v>467770.4</v>
      </c>
      <c r="H12" s="6">
        <v>901991.14799</v>
      </c>
      <c r="I12" s="6">
        <v>9425.706</v>
      </c>
      <c r="J12" s="6">
        <v>413961.9</v>
      </c>
      <c r="K12" s="6">
        <v>1045680.5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7">
        <f t="shared" si="0"/>
        <v>2848641.59139</v>
      </c>
    </row>
    <row r="13" spans="1:18">
      <c r="A13" s="3" t="s">
        <v>24</v>
      </c>
      <c r="B13" s="3" t="s">
        <v>25</v>
      </c>
      <c r="C13" s="3" t="s">
        <v>34</v>
      </c>
      <c r="D13" s="6">
        <v>7145.5801</v>
      </c>
      <c r="E13" s="6">
        <v>0</v>
      </c>
      <c r="F13" s="6">
        <v>0</v>
      </c>
      <c r="G13" s="6">
        <v>358320</v>
      </c>
      <c r="H13" s="6">
        <v>1143648.07304</v>
      </c>
      <c r="I13" s="6">
        <v>24510.291</v>
      </c>
      <c r="J13" s="6">
        <v>425432.7</v>
      </c>
      <c r="K13" s="6">
        <v>1041664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7">
        <f t="shared" si="0"/>
        <v>3000720.64414</v>
      </c>
    </row>
    <row r="14" spans="1:18">
      <c r="A14" s="3" t="s">
        <v>24</v>
      </c>
      <c r="B14" s="3" t="s">
        <v>25</v>
      </c>
      <c r="C14" s="3" t="s">
        <v>35</v>
      </c>
      <c r="D14" s="6">
        <v>9443.9364</v>
      </c>
      <c r="E14" s="6">
        <v>0</v>
      </c>
      <c r="F14" s="6">
        <v>0</v>
      </c>
      <c r="G14" s="6">
        <v>492957.2</v>
      </c>
      <c r="H14" s="6">
        <v>836612.592</v>
      </c>
      <c r="I14" s="6">
        <v>225.408</v>
      </c>
      <c r="J14" s="6">
        <v>660195</v>
      </c>
      <c r="K14" s="6">
        <v>719789.5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7">
        <f t="shared" si="0"/>
        <v>2719223.6364</v>
      </c>
    </row>
    <row r="15" spans="1:18">
      <c r="A15" s="3" t="s">
        <v>24</v>
      </c>
      <c r="B15" s="3" t="s">
        <v>25</v>
      </c>
      <c r="C15" s="3" t="s">
        <v>36</v>
      </c>
      <c r="D15" s="6">
        <v>27065.3395</v>
      </c>
      <c r="E15" s="6">
        <v>0</v>
      </c>
      <c r="F15" s="6">
        <v>0</v>
      </c>
      <c r="G15" s="6">
        <v>1334651.2</v>
      </c>
      <c r="H15" s="6">
        <v>4019743.4024</v>
      </c>
      <c r="I15" s="6">
        <v>32717.649</v>
      </c>
      <c r="J15" s="6">
        <v>1418208.15</v>
      </c>
      <c r="K15" s="6">
        <v>2164593.5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7">
        <f t="shared" si="0"/>
        <v>8996979.2409</v>
      </c>
    </row>
    <row r="16" spans="1:18">
      <c r="A16" s="3" t="s">
        <v>24</v>
      </c>
      <c r="B16" s="3" t="s">
        <v>25</v>
      </c>
      <c r="C16" s="3" t="s">
        <v>37</v>
      </c>
      <c r="D16" s="6">
        <v>4502.7228</v>
      </c>
      <c r="E16" s="6">
        <v>0</v>
      </c>
      <c r="F16" s="6">
        <v>0</v>
      </c>
      <c r="G16" s="6">
        <v>224420</v>
      </c>
      <c r="H16" s="6">
        <v>498754.71</v>
      </c>
      <c r="I16" s="6">
        <v>12587.898</v>
      </c>
      <c r="J16" s="6">
        <v>202747.05</v>
      </c>
      <c r="K16" s="6">
        <v>282194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7">
        <f t="shared" si="0"/>
        <v>1225206.3808</v>
      </c>
    </row>
    <row r="17" spans="1:18">
      <c r="A17" s="3" t="s">
        <v>24</v>
      </c>
      <c r="B17" s="3" t="s">
        <v>25</v>
      </c>
      <c r="C17" s="3" t="s">
        <v>38</v>
      </c>
      <c r="D17" s="6">
        <v>83.5974</v>
      </c>
      <c r="E17" s="6">
        <v>0</v>
      </c>
      <c r="F17" s="6">
        <v>0</v>
      </c>
      <c r="G17" s="6">
        <v>0</v>
      </c>
      <c r="H17" s="6">
        <v>0</v>
      </c>
      <c r="I17" s="6">
        <v>388163.6955</v>
      </c>
      <c r="J17" s="6">
        <v>0</v>
      </c>
      <c r="K17" s="6">
        <v>69113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7">
        <f t="shared" si="0"/>
        <v>457360.2929</v>
      </c>
    </row>
    <row r="18" spans="1:18">
      <c r="A18" s="3" t="s">
        <v>24</v>
      </c>
      <c r="B18" s="3" t="s">
        <v>25</v>
      </c>
      <c r="C18" s="3" t="s">
        <v>39</v>
      </c>
      <c r="D18" s="6">
        <v>16436.4608</v>
      </c>
      <c r="E18" s="6">
        <v>0</v>
      </c>
      <c r="F18" s="6">
        <v>0</v>
      </c>
      <c r="G18" s="6">
        <v>967687.6</v>
      </c>
      <c r="H18" s="6">
        <v>1062574.7574</v>
      </c>
      <c r="I18" s="6">
        <v>1148.331</v>
      </c>
      <c r="J18" s="6">
        <v>900794.4</v>
      </c>
      <c r="K18" s="6">
        <v>1239197.5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7">
        <f t="shared" si="0"/>
        <v>4187839.0492</v>
      </c>
    </row>
    <row r="19" spans="1:18">
      <c r="A19" s="3" t="s">
        <v>24</v>
      </c>
      <c r="B19" s="3" t="s">
        <v>25</v>
      </c>
      <c r="C19" s="3" t="s">
        <v>40</v>
      </c>
      <c r="D19" s="6">
        <v>4439.55</v>
      </c>
      <c r="E19" s="6">
        <v>0</v>
      </c>
      <c r="F19" s="6">
        <v>0</v>
      </c>
      <c r="G19" s="6">
        <v>291468</v>
      </c>
      <c r="H19" s="6">
        <v>442616.61</v>
      </c>
      <c r="I19" s="6">
        <v>32336.379</v>
      </c>
      <c r="J19" s="6">
        <v>189233.625</v>
      </c>
      <c r="K19" s="6">
        <v>319574.5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7">
        <f t="shared" si="0"/>
        <v>1279668.664</v>
      </c>
    </row>
    <row r="20" spans="1:18">
      <c r="A20" s="3" t="s">
        <v>24</v>
      </c>
      <c r="B20" s="3" t="s">
        <v>25</v>
      </c>
      <c r="C20" s="3" t="s">
        <v>41</v>
      </c>
      <c r="D20" s="6">
        <v>4363.147</v>
      </c>
      <c r="E20" s="6">
        <v>0</v>
      </c>
      <c r="F20" s="6">
        <v>0</v>
      </c>
      <c r="G20" s="6">
        <v>201540</v>
      </c>
      <c r="H20" s="6">
        <v>614744.55</v>
      </c>
      <c r="I20" s="6">
        <v>1248.7335</v>
      </c>
      <c r="J20" s="6">
        <v>425102.7</v>
      </c>
      <c r="K20" s="6">
        <v>519025.5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7">
        <f t="shared" si="0"/>
        <v>1766024.6305</v>
      </c>
    </row>
    <row r="21" spans="1:18">
      <c r="A21" s="3" t="s">
        <v>24</v>
      </c>
      <c r="B21" s="3" t="s">
        <v>25</v>
      </c>
      <c r="C21" s="3" t="s">
        <v>42</v>
      </c>
      <c r="D21" s="6">
        <v>11722.0424</v>
      </c>
      <c r="E21" s="6">
        <v>0</v>
      </c>
      <c r="F21" s="6">
        <v>0</v>
      </c>
      <c r="G21" s="6">
        <v>544965.6</v>
      </c>
      <c r="H21" s="6">
        <v>1193642.22256</v>
      </c>
      <c r="I21" s="6">
        <v>6802.2825</v>
      </c>
      <c r="J21" s="6">
        <v>791399.4</v>
      </c>
      <c r="K21" s="6">
        <v>1391673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7">
        <f t="shared" si="0"/>
        <v>3940204.54746</v>
      </c>
    </row>
    <row r="22" spans="1:18">
      <c r="A22" s="3" t="s">
        <v>24</v>
      </c>
      <c r="B22" s="3" t="s">
        <v>25</v>
      </c>
      <c r="C22" s="3" t="s">
        <v>43</v>
      </c>
      <c r="D22" s="6">
        <v>20892.9896</v>
      </c>
      <c r="E22" s="6">
        <v>0</v>
      </c>
      <c r="F22" s="6">
        <v>0</v>
      </c>
      <c r="G22" s="6">
        <v>1182078</v>
      </c>
      <c r="H22" s="6">
        <v>790136.648</v>
      </c>
      <c r="I22" s="6">
        <v>8545.038</v>
      </c>
      <c r="J22" s="6">
        <v>1212184.25</v>
      </c>
      <c r="K22" s="6">
        <v>1544467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7">
        <f t="shared" si="0"/>
        <v>4758303.9256</v>
      </c>
    </row>
    <row r="23" spans="1:18">
      <c r="A23" s="3" t="s">
        <v>24</v>
      </c>
      <c r="B23" s="3" t="s">
        <v>25</v>
      </c>
      <c r="C23" s="3" t="s">
        <v>44</v>
      </c>
      <c r="D23" s="6">
        <v>23525.1185</v>
      </c>
      <c r="E23" s="6">
        <v>0</v>
      </c>
      <c r="F23" s="6">
        <v>0</v>
      </c>
      <c r="G23" s="6">
        <v>1120750</v>
      </c>
      <c r="H23" s="6">
        <v>4768311.745</v>
      </c>
      <c r="I23" s="6">
        <v>177.7935</v>
      </c>
      <c r="J23" s="6">
        <v>599985.75</v>
      </c>
      <c r="K23" s="6">
        <v>1410181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7">
        <f t="shared" si="0"/>
        <v>7922931.407</v>
      </c>
    </row>
    <row r="24" spans="1:18">
      <c r="A24" s="3" t="s">
        <v>24</v>
      </c>
      <c r="B24" s="3" t="s">
        <v>25</v>
      </c>
      <c r="C24" s="3" t="s">
        <v>45</v>
      </c>
      <c r="D24" s="6">
        <v>20196.8771</v>
      </c>
      <c r="E24" s="6">
        <v>0</v>
      </c>
      <c r="F24" s="6">
        <v>0</v>
      </c>
      <c r="G24" s="6">
        <v>911414.8</v>
      </c>
      <c r="H24" s="6">
        <v>1836219.75144</v>
      </c>
      <c r="I24" s="6">
        <v>108.747</v>
      </c>
      <c r="J24" s="6">
        <v>745242.75</v>
      </c>
      <c r="K24" s="6">
        <v>1121434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7">
        <f t="shared" si="0"/>
        <v>4634616.92554</v>
      </c>
    </row>
    <row r="25" spans="1:18">
      <c r="A25" s="3" t="s">
        <v>24</v>
      </c>
      <c r="B25" s="3" t="s">
        <v>25</v>
      </c>
      <c r="C25" s="3" t="s">
        <v>46</v>
      </c>
      <c r="D25" s="6">
        <v>9932.2294</v>
      </c>
      <c r="E25" s="6">
        <v>0</v>
      </c>
      <c r="F25" s="6">
        <v>0</v>
      </c>
      <c r="G25" s="6">
        <v>319763.2</v>
      </c>
      <c r="H25" s="6">
        <v>29910.56</v>
      </c>
      <c r="I25" s="6">
        <v>10402.6245</v>
      </c>
      <c r="J25" s="6">
        <v>547043.875</v>
      </c>
      <c r="K25" s="6">
        <v>1256115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7">
        <f t="shared" si="0"/>
        <v>2173167.4889</v>
      </c>
    </row>
    <row r="26" spans="1:18">
      <c r="A26" s="3" t="s">
        <v>24</v>
      </c>
      <c r="B26" s="3" t="s">
        <v>25</v>
      </c>
      <c r="C26" s="3" t="s">
        <v>47</v>
      </c>
      <c r="D26" s="6">
        <v>304.2546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317728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7">
        <f t="shared" si="0"/>
        <v>318032.2546</v>
      </c>
    </row>
    <row r="27" spans="1:18">
      <c r="A27" s="3" t="s">
        <v>24</v>
      </c>
      <c r="B27" s="3" t="s">
        <v>25</v>
      </c>
      <c r="C27" s="3" t="s">
        <v>48</v>
      </c>
      <c r="D27" s="6">
        <v>5567.4166</v>
      </c>
      <c r="E27" s="6">
        <v>0</v>
      </c>
      <c r="F27" s="6">
        <v>0</v>
      </c>
      <c r="G27" s="6">
        <v>271833.2</v>
      </c>
      <c r="H27" s="6">
        <v>498302.02</v>
      </c>
      <c r="I27" s="6">
        <v>1197.609</v>
      </c>
      <c r="J27" s="6">
        <v>468203.4</v>
      </c>
      <c r="K27" s="6">
        <v>275608.5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7">
        <f t="shared" si="0"/>
        <v>1520712.1456</v>
      </c>
    </row>
    <row r="28" spans="1:18">
      <c r="A28" s="3" t="s">
        <v>24</v>
      </c>
      <c r="B28" s="3" t="s">
        <v>25</v>
      </c>
      <c r="C28" s="3" t="s">
        <v>49</v>
      </c>
      <c r="D28" s="6">
        <v>2970.7858</v>
      </c>
      <c r="E28" s="6">
        <v>0</v>
      </c>
      <c r="F28" s="6">
        <v>0</v>
      </c>
      <c r="G28" s="6">
        <v>102053.6</v>
      </c>
      <c r="H28" s="6">
        <v>439296.55</v>
      </c>
      <c r="I28" s="6">
        <v>3198.798</v>
      </c>
      <c r="J28" s="6">
        <v>206238.45</v>
      </c>
      <c r="K28" s="6">
        <v>164292.5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7">
        <f t="shared" si="0"/>
        <v>918050.6838</v>
      </c>
    </row>
    <row r="29" spans="1:18">
      <c r="A29" s="3" t="s">
        <v>24</v>
      </c>
      <c r="B29" s="3" t="s">
        <v>25</v>
      </c>
      <c r="C29" s="3" t="s">
        <v>50</v>
      </c>
      <c r="D29" s="6">
        <v>6552.5143</v>
      </c>
      <c r="E29" s="6">
        <v>0</v>
      </c>
      <c r="F29" s="6">
        <v>0</v>
      </c>
      <c r="G29" s="6">
        <v>421447.2</v>
      </c>
      <c r="H29" s="6">
        <v>645166.5756</v>
      </c>
      <c r="I29" s="6">
        <v>4033.548</v>
      </c>
      <c r="J29" s="6">
        <v>446004.9</v>
      </c>
      <c r="K29" s="6">
        <v>375531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7">
        <f t="shared" si="0"/>
        <v>1898735.7379</v>
      </c>
    </row>
    <row r="30" spans="1:18">
      <c r="A30" s="3" t="s">
        <v>24</v>
      </c>
      <c r="B30" s="3" t="s">
        <v>25</v>
      </c>
      <c r="C30" s="3" t="s">
        <v>51</v>
      </c>
      <c r="D30" s="6">
        <v>3383.9178</v>
      </c>
      <c r="E30" s="6">
        <v>0</v>
      </c>
      <c r="F30" s="6">
        <v>0</v>
      </c>
      <c r="G30" s="6">
        <v>219608.8</v>
      </c>
      <c r="H30" s="6">
        <v>461079.45436</v>
      </c>
      <c r="I30" s="6">
        <v>1346.0355</v>
      </c>
      <c r="J30" s="6">
        <v>223515.6</v>
      </c>
      <c r="K30" s="6">
        <v>122501.5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7">
        <f t="shared" si="0"/>
        <v>1031435.30766</v>
      </c>
    </row>
    <row r="31" spans="1:18">
      <c r="A31" s="3" t="s">
        <v>24</v>
      </c>
      <c r="B31" s="3" t="s">
        <v>25</v>
      </c>
      <c r="C31" s="3" t="s">
        <v>52</v>
      </c>
      <c r="D31" s="6">
        <v>12358.4908</v>
      </c>
      <c r="E31" s="6">
        <v>0</v>
      </c>
      <c r="F31" s="6">
        <v>0</v>
      </c>
      <c r="G31" s="6">
        <v>811220.4</v>
      </c>
      <c r="H31" s="6">
        <v>401365.33</v>
      </c>
      <c r="I31" s="6">
        <v>0</v>
      </c>
      <c r="J31" s="6">
        <v>879827</v>
      </c>
      <c r="K31" s="6">
        <v>1321663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7">
        <f t="shared" si="0"/>
        <v>3426434.2208</v>
      </c>
    </row>
    <row r="32" spans="1:18">
      <c r="A32" s="3" t="s">
        <v>24</v>
      </c>
      <c r="B32" s="3" t="s">
        <v>25</v>
      </c>
      <c r="C32" s="3" t="s">
        <v>53</v>
      </c>
      <c r="D32" s="6">
        <v>25678.18</v>
      </c>
      <c r="E32" s="6">
        <v>0</v>
      </c>
      <c r="F32" s="6">
        <v>0</v>
      </c>
      <c r="G32" s="6">
        <v>999765.2</v>
      </c>
      <c r="H32" s="6">
        <v>1167290.24</v>
      </c>
      <c r="I32" s="6">
        <v>1995.8295</v>
      </c>
      <c r="J32" s="6">
        <v>1389060.125</v>
      </c>
      <c r="K32" s="6">
        <v>1957384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7">
        <f t="shared" si="0"/>
        <v>5541173.5745</v>
      </c>
    </row>
    <row r="33" spans="1:18">
      <c r="A33" s="3" t="s">
        <v>24</v>
      </c>
      <c r="B33" s="3" t="s">
        <v>25</v>
      </c>
      <c r="C33" s="3" t="s">
        <v>54</v>
      </c>
      <c r="D33" s="6">
        <v>10321.5608</v>
      </c>
      <c r="E33" s="6">
        <v>0</v>
      </c>
      <c r="F33" s="6">
        <v>0</v>
      </c>
      <c r="G33" s="6">
        <v>483806</v>
      </c>
      <c r="H33" s="6">
        <v>527574.66944</v>
      </c>
      <c r="I33" s="6">
        <v>2484.3735</v>
      </c>
      <c r="J33" s="6">
        <v>446971.8</v>
      </c>
      <c r="K33" s="6">
        <v>518476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7">
        <f t="shared" si="0"/>
        <v>1989634.40374</v>
      </c>
    </row>
    <row r="34" spans="1:18">
      <c r="A34" s="3" t="s">
        <v>24</v>
      </c>
      <c r="B34" s="3" t="s">
        <v>55</v>
      </c>
      <c r="C34" s="3" t="s">
        <v>56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14.178</v>
      </c>
      <c r="J34" s="6">
        <v>0</v>
      </c>
      <c r="K34" s="6">
        <v>2741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7">
        <f t="shared" si="0"/>
        <v>2755.178</v>
      </c>
    </row>
    <row r="35" spans="1:18">
      <c r="A35" s="3" t="s">
        <v>24</v>
      </c>
      <c r="B35" s="3" t="s">
        <v>55</v>
      </c>
      <c r="C35" s="3" t="s">
        <v>57</v>
      </c>
      <c r="D35" s="6">
        <v>0</v>
      </c>
      <c r="E35" s="6">
        <v>0</v>
      </c>
      <c r="F35" s="6">
        <v>0</v>
      </c>
      <c r="G35" s="6">
        <v>0</v>
      </c>
      <c r="H35" s="6">
        <v>10214.061</v>
      </c>
      <c r="I35" s="6">
        <v>5.0865</v>
      </c>
      <c r="J35" s="6">
        <v>0</v>
      </c>
      <c r="K35" s="6">
        <v>483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7">
        <f t="shared" si="0"/>
        <v>10702.1475</v>
      </c>
    </row>
    <row r="36" spans="1:18">
      <c r="A36" s="3" t="s">
        <v>24</v>
      </c>
      <c r="B36" s="3" t="s">
        <v>55</v>
      </c>
      <c r="C36" s="3" t="s">
        <v>58</v>
      </c>
      <c r="D36" s="6">
        <v>2.4245</v>
      </c>
      <c r="E36" s="6">
        <v>0</v>
      </c>
      <c r="F36" s="6">
        <v>0</v>
      </c>
      <c r="G36" s="6">
        <v>676.4</v>
      </c>
      <c r="H36" s="6">
        <v>6591.9348</v>
      </c>
      <c r="I36" s="6">
        <v>0</v>
      </c>
      <c r="J36" s="6">
        <v>0</v>
      </c>
      <c r="K36" s="6">
        <v>7667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40000</v>
      </c>
      <c r="R36" s="7">
        <f t="shared" si="0"/>
        <v>54937.7593</v>
      </c>
    </row>
    <row r="37" spans="1:18">
      <c r="A37" s="3" t="s">
        <v>24</v>
      </c>
      <c r="B37" s="3" t="s">
        <v>55</v>
      </c>
      <c r="C37" s="3" t="s">
        <v>59</v>
      </c>
      <c r="D37" s="6">
        <v>24.5828</v>
      </c>
      <c r="E37" s="6">
        <v>0</v>
      </c>
      <c r="F37" s="6">
        <v>0</v>
      </c>
      <c r="G37" s="6">
        <v>22930.8</v>
      </c>
      <c r="H37" s="6">
        <v>89970</v>
      </c>
      <c r="I37" s="6">
        <v>1075.794</v>
      </c>
      <c r="J37" s="6">
        <v>18113</v>
      </c>
      <c r="K37" s="6">
        <v>9697.5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40000</v>
      </c>
      <c r="R37" s="7">
        <f t="shared" si="0"/>
        <v>181811.6768</v>
      </c>
    </row>
    <row r="38" spans="1:18">
      <c r="A38" s="3" t="s">
        <v>24</v>
      </c>
      <c r="B38" s="3" t="s">
        <v>55</v>
      </c>
      <c r="C38" s="3" t="s">
        <v>60</v>
      </c>
      <c r="D38" s="6">
        <v>3.895</v>
      </c>
      <c r="E38" s="6">
        <v>0</v>
      </c>
      <c r="F38" s="6">
        <v>0</v>
      </c>
      <c r="G38" s="6">
        <v>0</v>
      </c>
      <c r="H38" s="6">
        <v>13881.0672</v>
      </c>
      <c r="I38" s="6">
        <v>338.775</v>
      </c>
      <c r="J38" s="6">
        <v>0</v>
      </c>
      <c r="K38" s="6">
        <v>3872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40000</v>
      </c>
      <c r="R38" s="7">
        <f t="shared" si="0"/>
        <v>58095.7372</v>
      </c>
    </row>
    <row r="39" spans="1:18">
      <c r="A39" s="3" t="s">
        <v>24</v>
      </c>
      <c r="B39" s="3" t="s">
        <v>55</v>
      </c>
      <c r="C39" s="3" t="s">
        <v>61</v>
      </c>
      <c r="D39" s="6">
        <v>102.3127</v>
      </c>
      <c r="E39" s="6">
        <v>0</v>
      </c>
      <c r="F39" s="6">
        <v>0</v>
      </c>
      <c r="G39" s="6">
        <v>58588</v>
      </c>
      <c r="H39" s="6">
        <v>365359.4</v>
      </c>
      <c r="I39" s="6">
        <v>1642.7775</v>
      </c>
      <c r="J39" s="6">
        <v>33579</v>
      </c>
      <c r="K39" s="6">
        <v>47319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40000</v>
      </c>
      <c r="R39" s="7">
        <f t="shared" si="0"/>
        <v>546590.4902</v>
      </c>
    </row>
    <row r="40" spans="1:18">
      <c r="A40" s="3" t="s">
        <v>24</v>
      </c>
      <c r="B40" s="3" t="s">
        <v>55</v>
      </c>
      <c r="C40" s="3" t="s">
        <v>62</v>
      </c>
      <c r="D40" s="6">
        <v>41.015</v>
      </c>
      <c r="E40" s="6">
        <v>0</v>
      </c>
      <c r="F40" s="6">
        <v>0</v>
      </c>
      <c r="G40" s="6">
        <v>33196</v>
      </c>
      <c r="H40" s="6">
        <v>156055.68</v>
      </c>
      <c r="I40" s="6">
        <v>359.2305</v>
      </c>
      <c r="J40" s="6">
        <v>25666.4</v>
      </c>
      <c r="K40" s="6">
        <v>35311.5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40000</v>
      </c>
      <c r="R40" s="7">
        <f t="shared" si="0"/>
        <v>290629.8255</v>
      </c>
    </row>
    <row r="41" spans="1:18">
      <c r="A41" s="3" t="s">
        <v>24</v>
      </c>
      <c r="B41" s="3" t="s">
        <v>55</v>
      </c>
      <c r="C41" s="3" t="s">
        <v>63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7">
        <f t="shared" si="0"/>
        <v>0</v>
      </c>
    </row>
    <row r="42" spans="1:18">
      <c r="A42" s="3" t="s">
        <v>24</v>
      </c>
      <c r="B42" s="3" t="s">
        <v>64</v>
      </c>
      <c r="C42" s="3" t="s">
        <v>65</v>
      </c>
      <c r="D42" s="6">
        <v>0.9968</v>
      </c>
      <c r="E42" s="6">
        <v>0</v>
      </c>
      <c r="F42" s="6">
        <v>0</v>
      </c>
      <c r="G42" s="6">
        <v>0</v>
      </c>
      <c r="H42" s="6">
        <v>0</v>
      </c>
      <c r="I42" s="6">
        <v>927.441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80000</v>
      </c>
      <c r="R42" s="7">
        <f>SUM(D42:Q42)</f>
        <v>80928.4378</v>
      </c>
    </row>
    <row r="43" spans="1:18">
      <c r="A43" s="3" t="s">
        <v>24</v>
      </c>
      <c r="B43" s="3" t="s">
        <v>66</v>
      </c>
      <c r="C43" s="3" t="s">
        <v>67</v>
      </c>
      <c r="D43" s="6">
        <v>0</v>
      </c>
      <c r="E43" s="6">
        <v>0</v>
      </c>
      <c r="F43" s="6">
        <v>0</v>
      </c>
      <c r="G43" s="6">
        <v>0</v>
      </c>
      <c r="H43" s="6">
        <v>139564.38</v>
      </c>
      <c r="I43" s="6">
        <v>0</v>
      </c>
      <c r="J43" s="6">
        <v>0</v>
      </c>
      <c r="K43" s="6">
        <v>30179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7">
        <f>SUM(D43:Q43)</f>
        <v>169743.38</v>
      </c>
    </row>
    <row r="44" spans="1:18">
      <c r="A44" s="3" t="s">
        <v>24</v>
      </c>
      <c r="B44" s="3" t="s">
        <v>66</v>
      </c>
      <c r="C44" s="3" t="s">
        <v>68</v>
      </c>
      <c r="D44" s="6">
        <v>0</v>
      </c>
      <c r="E44" s="6">
        <v>0</v>
      </c>
      <c r="F44" s="6">
        <v>0</v>
      </c>
      <c r="G44" s="6">
        <v>0</v>
      </c>
      <c r="H44" s="6">
        <v>94733.68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7">
        <f>SUM(D44:Q44)</f>
        <v>94733.68</v>
      </c>
    </row>
    <row r="45" spans="1:18">
      <c r="A45" s="3" t="s">
        <v>24</v>
      </c>
      <c r="B45" s="3" t="s">
        <v>66</v>
      </c>
      <c r="C45" s="3" t="s">
        <v>69</v>
      </c>
      <c r="D45" s="6">
        <v>20.3252</v>
      </c>
      <c r="E45" s="6">
        <v>0</v>
      </c>
      <c r="F45" s="6">
        <v>0</v>
      </c>
      <c r="G45" s="6">
        <v>0</v>
      </c>
      <c r="H45" s="6">
        <v>564177.87</v>
      </c>
      <c r="I45" s="6">
        <v>0</v>
      </c>
      <c r="J45" s="6">
        <v>0</v>
      </c>
      <c r="K45" s="6">
        <v>271177.5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7">
        <f>SUM(D45:Q45)</f>
        <v>835375.6952</v>
      </c>
    </row>
    <row r="46" spans="1:18">
      <c r="A46" s="3" t="s">
        <v>24</v>
      </c>
      <c r="B46" s="3" t="s">
        <v>70</v>
      </c>
      <c r="C46" s="3" t="s">
        <v>71</v>
      </c>
      <c r="D46" s="6">
        <v>3303.3668</v>
      </c>
      <c r="E46" s="6">
        <v>0</v>
      </c>
      <c r="F46" s="6">
        <v>0</v>
      </c>
      <c r="G46" s="6">
        <v>241786.8</v>
      </c>
      <c r="H46" s="6">
        <v>2143086.4</v>
      </c>
      <c r="I46" s="6">
        <v>10000.317</v>
      </c>
      <c r="J46" s="6">
        <v>104873.175</v>
      </c>
      <c r="K46" s="6">
        <v>476863.5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7">
        <f t="shared" ref="R46:R67" si="1">SUM(D46:Q46)</f>
        <v>2979913.5588</v>
      </c>
    </row>
    <row r="47" spans="1:18">
      <c r="A47" s="3" t="s">
        <v>24</v>
      </c>
      <c r="B47" s="3" t="s">
        <v>70</v>
      </c>
      <c r="C47" s="3" t="s">
        <v>72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7">
        <f t="shared" si="1"/>
        <v>0</v>
      </c>
    </row>
    <row r="48" spans="1:18">
      <c r="A48" s="3" t="s">
        <v>24</v>
      </c>
      <c r="B48" s="3" t="s">
        <v>70</v>
      </c>
      <c r="C48" s="3" t="s">
        <v>73</v>
      </c>
      <c r="D48" s="6">
        <v>525.402</v>
      </c>
      <c r="E48" s="6">
        <v>0</v>
      </c>
      <c r="F48" s="6">
        <v>0</v>
      </c>
      <c r="G48" s="6">
        <v>13868</v>
      </c>
      <c r="H48" s="6">
        <v>256784.85</v>
      </c>
      <c r="I48" s="6">
        <v>8778.498</v>
      </c>
      <c r="J48" s="6">
        <v>74282.775</v>
      </c>
      <c r="K48" s="6">
        <v>765319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7">
        <f t="shared" si="1"/>
        <v>1119558.525</v>
      </c>
    </row>
    <row r="49" spans="1:18">
      <c r="A49" s="3" t="s">
        <v>24</v>
      </c>
      <c r="B49" s="3" t="s">
        <v>70</v>
      </c>
      <c r="C49" s="3" t="s">
        <v>74</v>
      </c>
      <c r="D49" s="6">
        <v>2.1233</v>
      </c>
      <c r="E49" s="6">
        <v>0</v>
      </c>
      <c r="F49" s="6">
        <v>0</v>
      </c>
      <c r="G49" s="6">
        <v>0</v>
      </c>
      <c r="H49" s="6">
        <v>33131.46</v>
      </c>
      <c r="I49" s="6">
        <v>626.04</v>
      </c>
      <c r="J49" s="6">
        <v>955.53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7">
        <f t="shared" si="1"/>
        <v>34715.1533</v>
      </c>
    </row>
    <row r="50" spans="1:18">
      <c r="A50" s="3" t="s">
        <v>24</v>
      </c>
      <c r="B50" s="3" t="s">
        <v>70</v>
      </c>
      <c r="C50" s="3" t="s">
        <v>75</v>
      </c>
      <c r="D50" s="6">
        <v>909.12</v>
      </c>
      <c r="E50" s="6">
        <v>0</v>
      </c>
      <c r="F50" s="6">
        <v>0</v>
      </c>
      <c r="G50" s="6">
        <v>56956</v>
      </c>
      <c r="H50" s="6">
        <v>404273.664</v>
      </c>
      <c r="I50" s="6">
        <v>5983.9065</v>
      </c>
      <c r="J50" s="6">
        <v>61255.958</v>
      </c>
      <c r="K50" s="6">
        <v>553803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7">
        <f t="shared" si="1"/>
        <v>1083181.6485</v>
      </c>
    </row>
    <row r="51" spans="1:18">
      <c r="A51" s="3" t="s">
        <v>24</v>
      </c>
      <c r="B51" s="3" t="s">
        <v>70</v>
      </c>
      <c r="C51" s="3" t="s">
        <v>76</v>
      </c>
      <c r="D51" s="6">
        <v>25.3817</v>
      </c>
      <c r="E51" s="6">
        <v>0</v>
      </c>
      <c r="F51" s="6">
        <v>0</v>
      </c>
      <c r="G51" s="6">
        <v>0</v>
      </c>
      <c r="H51" s="6">
        <v>52530</v>
      </c>
      <c r="I51" s="6">
        <v>1106.6955</v>
      </c>
      <c r="J51" s="6">
        <v>1493.7</v>
      </c>
      <c r="K51" s="6">
        <v>3444.5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7">
        <f t="shared" si="1"/>
        <v>58600.2772</v>
      </c>
    </row>
    <row r="52" spans="1:18">
      <c r="A52" s="3" t="s">
        <v>24</v>
      </c>
      <c r="B52" s="3" t="s">
        <v>70</v>
      </c>
      <c r="C52" s="3" t="s">
        <v>77</v>
      </c>
      <c r="D52" s="6">
        <v>591.3964</v>
      </c>
      <c r="E52" s="6">
        <v>0</v>
      </c>
      <c r="F52" s="6">
        <v>0</v>
      </c>
      <c r="G52" s="6">
        <v>0</v>
      </c>
      <c r="H52" s="6">
        <v>284572.1375</v>
      </c>
      <c r="I52" s="6">
        <v>4282.5105</v>
      </c>
      <c r="J52" s="6">
        <v>31600.45</v>
      </c>
      <c r="K52" s="6">
        <v>84172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7">
        <f t="shared" si="1"/>
        <v>405218.4944</v>
      </c>
    </row>
    <row r="53" spans="1:18">
      <c r="A53" s="3" t="s">
        <v>24</v>
      </c>
      <c r="B53" s="3" t="s">
        <v>70</v>
      </c>
      <c r="C53" s="3" t="s">
        <v>78</v>
      </c>
      <c r="D53" s="6">
        <v>575.5962</v>
      </c>
      <c r="E53" s="6">
        <v>0</v>
      </c>
      <c r="F53" s="6">
        <v>0</v>
      </c>
      <c r="G53" s="6">
        <v>62611.2</v>
      </c>
      <c r="H53" s="6">
        <v>292145</v>
      </c>
      <c r="I53" s="6">
        <v>21.4065</v>
      </c>
      <c r="J53" s="6">
        <v>22593.365</v>
      </c>
      <c r="K53" s="6">
        <v>48691.5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7">
        <f t="shared" si="1"/>
        <v>426638.0677</v>
      </c>
    </row>
    <row r="54" spans="1:18">
      <c r="A54" s="3" t="s">
        <v>24</v>
      </c>
      <c r="B54" s="3" t="s">
        <v>70</v>
      </c>
      <c r="C54" s="3" t="s">
        <v>79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7">
        <f t="shared" si="1"/>
        <v>0</v>
      </c>
    </row>
    <row r="55" spans="1:18">
      <c r="A55" s="3" t="s">
        <v>24</v>
      </c>
      <c r="B55" s="3" t="s">
        <v>70</v>
      </c>
      <c r="C55" s="3" t="s">
        <v>80</v>
      </c>
      <c r="D55" s="6">
        <v>25.5258</v>
      </c>
      <c r="E55" s="6">
        <v>0</v>
      </c>
      <c r="F55" s="6">
        <v>0</v>
      </c>
      <c r="G55" s="6">
        <v>0</v>
      </c>
      <c r="H55" s="6">
        <v>39026.4</v>
      </c>
      <c r="I55" s="6">
        <v>906.381</v>
      </c>
      <c r="J55" s="6">
        <v>1034.905</v>
      </c>
      <c r="K55" s="6">
        <v>3960.5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7">
        <f t="shared" si="1"/>
        <v>44953.7118</v>
      </c>
    </row>
    <row r="56" spans="1:18">
      <c r="A56" s="3" t="s">
        <v>24</v>
      </c>
      <c r="B56" s="3" t="s">
        <v>70</v>
      </c>
      <c r="C56" s="3" t="s">
        <v>81</v>
      </c>
      <c r="D56" s="6">
        <v>3.2605</v>
      </c>
      <c r="E56" s="6">
        <v>0</v>
      </c>
      <c r="F56" s="6">
        <v>0</v>
      </c>
      <c r="G56" s="6">
        <v>0</v>
      </c>
      <c r="H56" s="6">
        <v>14056.56</v>
      </c>
      <c r="I56" s="6">
        <v>113.4675</v>
      </c>
      <c r="J56" s="6">
        <v>106.72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7">
        <f t="shared" si="1"/>
        <v>14280.008</v>
      </c>
    </row>
    <row r="57" spans="1:18">
      <c r="A57" s="3" t="s">
        <v>24</v>
      </c>
      <c r="B57" s="3" t="s">
        <v>70</v>
      </c>
      <c r="C57" s="3" t="s">
        <v>82</v>
      </c>
      <c r="D57" s="6">
        <v>142.9514</v>
      </c>
      <c r="E57" s="6">
        <v>0</v>
      </c>
      <c r="F57" s="6">
        <v>0</v>
      </c>
      <c r="G57" s="6">
        <v>10848.8</v>
      </c>
      <c r="H57" s="6">
        <v>184620</v>
      </c>
      <c r="I57" s="6">
        <v>1443.768</v>
      </c>
      <c r="J57" s="6">
        <v>7567.245</v>
      </c>
      <c r="K57" s="6">
        <v>22739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7">
        <f t="shared" si="1"/>
        <v>227361.7644</v>
      </c>
    </row>
    <row r="58" spans="1:18">
      <c r="A58" s="3" t="s">
        <v>24</v>
      </c>
      <c r="B58" s="3" t="s">
        <v>70</v>
      </c>
      <c r="C58" s="3" t="s">
        <v>83</v>
      </c>
      <c r="D58" s="6">
        <v>6.8179</v>
      </c>
      <c r="E58" s="6">
        <v>0</v>
      </c>
      <c r="F58" s="6">
        <v>0</v>
      </c>
      <c r="G58" s="6">
        <v>0</v>
      </c>
      <c r="H58" s="6">
        <v>75796.952</v>
      </c>
      <c r="I58" s="6">
        <v>87.879</v>
      </c>
      <c r="J58" s="6">
        <v>1247.96</v>
      </c>
      <c r="K58" s="6">
        <v>4299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7">
        <f t="shared" si="1"/>
        <v>81438.6089</v>
      </c>
    </row>
    <row r="59" spans="1:18">
      <c r="A59" s="3" t="s">
        <v>24</v>
      </c>
      <c r="B59" s="3" t="s">
        <v>70</v>
      </c>
      <c r="C59" s="3" t="s">
        <v>84</v>
      </c>
      <c r="D59" s="6">
        <v>2272.1989</v>
      </c>
      <c r="E59" s="6">
        <v>0</v>
      </c>
      <c r="F59" s="6">
        <v>0</v>
      </c>
      <c r="G59" s="6">
        <v>240056</v>
      </c>
      <c r="H59" s="6">
        <v>713591.035</v>
      </c>
      <c r="I59" s="6">
        <v>789.4395</v>
      </c>
      <c r="J59" s="6">
        <v>0</v>
      </c>
      <c r="K59" s="6">
        <v>327418.5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7">
        <f t="shared" si="1"/>
        <v>1284127.1734</v>
      </c>
    </row>
    <row r="60" spans="1:18">
      <c r="A60" s="3" t="s">
        <v>24</v>
      </c>
      <c r="B60" s="3" t="s">
        <v>70</v>
      </c>
      <c r="C60" s="3" t="s">
        <v>85</v>
      </c>
      <c r="D60" s="6">
        <v>1945.3711</v>
      </c>
      <c r="E60" s="6">
        <v>0</v>
      </c>
      <c r="F60" s="6">
        <v>0</v>
      </c>
      <c r="G60" s="6">
        <v>82338</v>
      </c>
      <c r="H60" s="6">
        <v>537753.44</v>
      </c>
      <c r="I60" s="6">
        <v>4297.485</v>
      </c>
      <c r="J60" s="6">
        <v>83834.7</v>
      </c>
      <c r="K60" s="6">
        <v>187761.5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7">
        <f t="shared" si="1"/>
        <v>897930.4961</v>
      </c>
    </row>
    <row r="61" spans="1:18">
      <c r="A61" s="3" t="s">
        <v>24</v>
      </c>
      <c r="B61" s="3" t="s">
        <v>70</v>
      </c>
      <c r="C61" s="3" t="s">
        <v>86</v>
      </c>
      <c r="D61" s="6">
        <v>68.0478</v>
      </c>
      <c r="E61" s="6">
        <v>0</v>
      </c>
      <c r="F61" s="6">
        <v>0</v>
      </c>
      <c r="G61" s="6">
        <v>8257.6</v>
      </c>
      <c r="H61" s="6">
        <v>82835.1868</v>
      </c>
      <c r="I61" s="6">
        <v>567.306</v>
      </c>
      <c r="J61" s="6">
        <v>3940.5187</v>
      </c>
      <c r="K61" s="6">
        <v>12968.5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7">
        <f t="shared" si="1"/>
        <v>108637.1593</v>
      </c>
    </row>
    <row r="62" spans="1:18">
      <c r="A62" s="3" t="s">
        <v>24</v>
      </c>
      <c r="B62" s="3" t="s">
        <v>70</v>
      </c>
      <c r="C62" s="3" t="s">
        <v>87</v>
      </c>
      <c r="D62" s="6">
        <v>96.2184</v>
      </c>
      <c r="E62" s="6">
        <v>0</v>
      </c>
      <c r="F62" s="6">
        <v>0</v>
      </c>
      <c r="G62" s="6">
        <v>13275.6</v>
      </c>
      <c r="H62" s="6">
        <v>56739.92</v>
      </c>
      <c r="I62" s="6">
        <v>20768.928</v>
      </c>
      <c r="J62" s="6">
        <v>6362.985</v>
      </c>
      <c r="K62" s="6">
        <v>11143.5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7">
        <f t="shared" si="1"/>
        <v>108387.1514</v>
      </c>
    </row>
    <row r="63" spans="1:18">
      <c r="A63" s="3" t="s">
        <v>24</v>
      </c>
      <c r="B63" s="3" t="s">
        <v>70</v>
      </c>
      <c r="C63" s="3" t="s">
        <v>88</v>
      </c>
      <c r="D63" s="6">
        <v>1151.4024</v>
      </c>
      <c r="E63" s="6">
        <v>0</v>
      </c>
      <c r="F63" s="6">
        <v>0</v>
      </c>
      <c r="G63" s="6">
        <v>45335.6</v>
      </c>
      <c r="H63" s="6">
        <v>377670.71</v>
      </c>
      <c r="I63" s="6">
        <v>6440.7645</v>
      </c>
      <c r="J63" s="6">
        <v>44014.1747</v>
      </c>
      <c r="K63" s="6">
        <v>117290.5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7">
        <f t="shared" si="1"/>
        <v>591903.1516</v>
      </c>
    </row>
    <row r="64" spans="1:18">
      <c r="A64" s="3" t="s">
        <v>24</v>
      </c>
      <c r="B64" s="3" t="s">
        <v>70</v>
      </c>
      <c r="C64" s="3" t="s">
        <v>89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7">
        <f t="shared" si="1"/>
        <v>0</v>
      </c>
    </row>
    <row r="65" spans="1:18">
      <c r="A65" s="3" t="s">
        <v>24</v>
      </c>
      <c r="B65" s="3" t="s">
        <v>70</v>
      </c>
      <c r="C65" s="3" t="s">
        <v>90</v>
      </c>
      <c r="D65" s="6">
        <v>86.6185</v>
      </c>
      <c r="E65" s="6">
        <v>0</v>
      </c>
      <c r="F65" s="6">
        <v>0</v>
      </c>
      <c r="G65" s="6">
        <v>32184.8</v>
      </c>
      <c r="H65" s="6">
        <v>0</v>
      </c>
      <c r="I65" s="6">
        <v>496.29</v>
      </c>
      <c r="J65" s="6">
        <v>3373.2405</v>
      </c>
      <c r="K65" s="6">
        <v>7607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7">
        <f t="shared" si="1"/>
        <v>43747.949</v>
      </c>
    </row>
    <row r="66" spans="1:18">
      <c r="A66" s="3" t="s">
        <v>24</v>
      </c>
      <c r="B66" s="3" t="s">
        <v>70</v>
      </c>
      <c r="C66" s="3" t="s">
        <v>91</v>
      </c>
      <c r="D66" s="6">
        <v>102.005</v>
      </c>
      <c r="E66" s="6">
        <v>0</v>
      </c>
      <c r="F66" s="6">
        <v>0</v>
      </c>
      <c r="G66" s="6">
        <v>17214.4</v>
      </c>
      <c r="H66" s="6">
        <v>22437.36</v>
      </c>
      <c r="I66" s="6">
        <v>402.6885</v>
      </c>
      <c r="J66" s="6">
        <v>5078.7</v>
      </c>
      <c r="K66" s="6">
        <v>14111.5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7">
        <f t="shared" si="1"/>
        <v>59346.6535</v>
      </c>
    </row>
    <row r="67" spans="1:18">
      <c r="A67" s="3" t="s">
        <v>24</v>
      </c>
      <c r="B67" s="3" t="s">
        <v>70</v>
      </c>
      <c r="C67" s="3" t="s">
        <v>92</v>
      </c>
      <c r="D67" s="6">
        <v>263.9047</v>
      </c>
      <c r="E67" s="6">
        <v>0</v>
      </c>
      <c r="F67" s="6">
        <v>0</v>
      </c>
      <c r="G67" s="6">
        <v>60081.2</v>
      </c>
      <c r="H67" s="6">
        <v>36811.0484</v>
      </c>
      <c r="I67" s="6">
        <v>132.963</v>
      </c>
      <c r="J67" s="6">
        <v>0</v>
      </c>
      <c r="K67" s="6">
        <v>108405.5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7">
        <f t="shared" si="1"/>
        <v>205694.6161</v>
      </c>
    </row>
    <row r="68" spans="1:18">
      <c r="A68" s="3" t="s">
        <v>24</v>
      </c>
      <c r="B68" s="3" t="s">
        <v>70</v>
      </c>
      <c r="C68" s="3" t="s">
        <v>93</v>
      </c>
      <c r="D68" s="6">
        <v>224.635</v>
      </c>
      <c r="E68" s="6">
        <v>0</v>
      </c>
      <c r="F68" s="6">
        <v>0</v>
      </c>
      <c r="G68" s="6">
        <v>93530</v>
      </c>
      <c r="H68" s="6">
        <v>74744.107</v>
      </c>
      <c r="I68" s="6">
        <v>3723.084</v>
      </c>
      <c r="J68" s="6">
        <v>9874.2289</v>
      </c>
      <c r="K68" s="6">
        <v>500924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7">
        <f>SUM(D68:Q68)</f>
        <v>683020.0549</v>
      </c>
    </row>
    <row r="69" spans="1:18">
      <c r="A69" s="3" t="s">
        <v>24</v>
      </c>
      <c r="B69" s="3" t="s">
        <v>94</v>
      </c>
      <c r="C69" s="3" t="s">
        <v>95</v>
      </c>
      <c r="D69" s="6">
        <v>6.595</v>
      </c>
      <c r="E69" s="6">
        <v>0</v>
      </c>
      <c r="F69" s="6">
        <v>0</v>
      </c>
      <c r="G69" s="6">
        <v>2236</v>
      </c>
      <c r="H69" s="6">
        <v>0</v>
      </c>
      <c r="I69" s="6">
        <v>1540.194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7">
        <f>SUM(D69:Q69)</f>
        <v>3782.789</v>
      </c>
    </row>
    <row r="70" spans="1:18">
      <c r="A70" s="3" t="s">
        <v>24</v>
      </c>
      <c r="B70" s="3" t="s">
        <v>94</v>
      </c>
      <c r="C70" s="3" t="s">
        <v>96</v>
      </c>
      <c r="D70" s="6">
        <v>7.7886</v>
      </c>
      <c r="E70" s="6">
        <v>0</v>
      </c>
      <c r="F70" s="6">
        <v>0</v>
      </c>
      <c r="G70" s="6">
        <v>935.2</v>
      </c>
      <c r="H70" s="6">
        <v>0</v>
      </c>
      <c r="I70" s="6">
        <v>0</v>
      </c>
      <c r="J70" s="6">
        <v>1211.4067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7">
        <f>SUM(D70:Q70)</f>
        <v>2154.3953</v>
      </c>
    </row>
    <row r="71" spans="1:18">
      <c r="A71" s="3" t="s">
        <v>24</v>
      </c>
      <c r="B71" s="3" t="s">
        <v>94</v>
      </c>
      <c r="C71" s="3" t="s">
        <v>97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66645.9075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7">
        <f>SUM(D71:Q71)</f>
        <v>66645.9075</v>
      </c>
    </row>
    <row r="72" spans="1:18">
      <c r="A72" s="3" t="s">
        <v>24</v>
      </c>
      <c r="B72" s="3" t="s">
        <v>94</v>
      </c>
      <c r="C72" s="3" t="s">
        <v>98</v>
      </c>
      <c r="D72" s="6">
        <v>4.6322</v>
      </c>
      <c r="E72" s="6">
        <v>25.8084</v>
      </c>
      <c r="F72" s="6">
        <v>0</v>
      </c>
      <c r="G72" s="6">
        <v>1386.4</v>
      </c>
      <c r="H72" s="6">
        <v>0</v>
      </c>
      <c r="I72" s="6">
        <v>15842.0805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7">
        <f>SUM(D72:Q72)</f>
        <v>17258.9211</v>
      </c>
    </row>
    <row r="73" spans="1:18">
      <c r="A73" s="3" t="s">
        <v>24</v>
      </c>
      <c r="B73" s="3" t="s">
        <v>94</v>
      </c>
      <c r="C73" s="3" t="s">
        <v>99</v>
      </c>
      <c r="D73" s="6">
        <v>3.8161</v>
      </c>
      <c r="E73" s="6">
        <v>12.748</v>
      </c>
      <c r="F73" s="6">
        <v>0</v>
      </c>
      <c r="G73" s="6">
        <v>1178.8</v>
      </c>
      <c r="H73" s="6">
        <v>0</v>
      </c>
      <c r="I73" s="6">
        <v>10.986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7">
        <f>SUM(D73:Q73)</f>
        <v>1206.3501</v>
      </c>
    </row>
    <row r="74" spans="1:18">
      <c r="A74" s="3" t="s">
        <v>24</v>
      </c>
      <c r="B74" s="3" t="s">
        <v>94</v>
      </c>
      <c r="C74" s="3" t="s">
        <v>100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231.0645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7">
        <f>SUM(D74:Q74)</f>
        <v>231.0645</v>
      </c>
    </row>
    <row r="75" spans="1:18">
      <c r="A75" s="3" t="s">
        <v>24</v>
      </c>
      <c r="B75" s="3" t="s">
        <v>94</v>
      </c>
      <c r="C75" s="3" t="s">
        <v>101</v>
      </c>
      <c r="D75" s="6">
        <v>15.8804</v>
      </c>
      <c r="E75" s="6">
        <v>24.192</v>
      </c>
      <c r="F75" s="6">
        <v>0</v>
      </c>
      <c r="G75" s="6">
        <v>7635.2</v>
      </c>
      <c r="H75" s="6">
        <v>0</v>
      </c>
      <c r="I75" s="6">
        <v>745.6275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7">
        <f t="shared" ref="R75:R106" si="2">SUM(D75:Q75)</f>
        <v>8420.8999</v>
      </c>
    </row>
    <row r="76" spans="1:18">
      <c r="A76" s="3" t="s">
        <v>24</v>
      </c>
      <c r="B76" s="3" t="s">
        <v>94</v>
      </c>
      <c r="C76" s="3" t="s">
        <v>102</v>
      </c>
      <c r="D76" s="6">
        <v>11.4901</v>
      </c>
      <c r="E76" s="6">
        <v>12.96</v>
      </c>
      <c r="F76" s="6">
        <v>0</v>
      </c>
      <c r="G76" s="6">
        <v>0</v>
      </c>
      <c r="H76" s="6">
        <v>0</v>
      </c>
      <c r="I76" s="6">
        <v>260.4615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7">
        <f t="shared" si="2"/>
        <v>284.9116</v>
      </c>
    </row>
    <row r="77" spans="1:18">
      <c r="A77" s="3" t="s">
        <v>24</v>
      </c>
      <c r="B77" s="3" t="s">
        <v>94</v>
      </c>
      <c r="C77" s="3" t="s">
        <v>103</v>
      </c>
      <c r="D77" s="6">
        <v>5.9528</v>
      </c>
      <c r="E77" s="6">
        <v>0</v>
      </c>
      <c r="F77" s="6">
        <v>0</v>
      </c>
      <c r="G77" s="6">
        <v>0</v>
      </c>
      <c r="H77" s="6">
        <v>0</v>
      </c>
      <c r="I77" s="6">
        <v>29763.804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7">
        <f t="shared" si="2"/>
        <v>29769.7568</v>
      </c>
    </row>
    <row r="78" spans="1:18">
      <c r="A78" s="3" t="s">
        <v>24</v>
      </c>
      <c r="B78" s="3" t="s">
        <v>94</v>
      </c>
      <c r="C78" s="3" t="s">
        <v>104</v>
      </c>
      <c r="D78" s="6">
        <v>8.8488</v>
      </c>
      <c r="E78" s="6">
        <v>22.68</v>
      </c>
      <c r="F78" s="6">
        <v>0</v>
      </c>
      <c r="G78" s="6">
        <v>0</v>
      </c>
      <c r="H78" s="6">
        <v>0</v>
      </c>
      <c r="I78" s="6">
        <v>13291.419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7">
        <f t="shared" si="2"/>
        <v>13322.9478</v>
      </c>
    </row>
    <row r="79" spans="1:18">
      <c r="A79" s="3" t="s">
        <v>24</v>
      </c>
      <c r="B79" s="3" t="s">
        <v>94</v>
      </c>
      <c r="C79" s="3" t="s">
        <v>105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3179.1465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7">
        <f t="shared" si="2"/>
        <v>3179.1465</v>
      </c>
    </row>
    <row r="80" spans="1:18">
      <c r="A80" s="3" t="s">
        <v>24</v>
      </c>
      <c r="B80" s="3" t="s">
        <v>94</v>
      </c>
      <c r="C80" s="3" t="s">
        <v>106</v>
      </c>
      <c r="D80" s="6">
        <v>4.2809</v>
      </c>
      <c r="E80" s="6">
        <v>0</v>
      </c>
      <c r="F80" s="6">
        <v>0</v>
      </c>
      <c r="G80" s="6">
        <v>0</v>
      </c>
      <c r="H80" s="6">
        <v>0</v>
      </c>
      <c r="I80" s="6">
        <v>84.153</v>
      </c>
      <c r="J80" s="6">
        <v>19371.5124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7">
        <f t="shared" si="2"/>
        <v>19459.9463</v>
      </c>
    </row>
    <row r="81" spans="1:18">
      <c r="A81" s="3" t="s">
        <v>24</v>
      </c>
      <c r="B81" s="3" t="s">
        <v>94</v>
      </c>
      <c r="C81" s="3" t="s">
        <v>107</v>
      </c>
      <c r="D81" s="6">
        <v>6.0128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7">
        <f t="shared" si="2"/>
        <v>6.0128</v>
      </c>
    </row>
    <row r="82" spans="1:18">
      <c r="A82" s="3" t="s">
        <v>24</v>
      </c>
      <c r="B82" s="3" t="s">
        <v>94</v>
      </c>
      <c r="C82" s="3" t="s">
        <v>108</v>
      </c>
      <c r="D82" s="6">
        <v>25.5883</v>
      </c>
      <c r="E82" s="6">
        <v>19.0512</v>
      </c>
      <c r="F82" s="6">
        <v>0</v>
      </c>
      <c r="G82" s="6">
        <v>3888.8</v>
      </c>
      <c r="H82" s="6">
        <v>0</v>
      </c>
      <c r="I82" s="6">
        <v>73529.9835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7">
        <f t="shared" si="2"/>
        <v>77463.423</v>
      </c>
    </row>
    <row r="83" spans="1:18">
      <c r="A83" s="3" t="s">
        <v>24</v>
      </c>
      <c r="B83" s="3" t="s">
        <v>94</v>
      </c>
      <c r="C83" s="3" t="s">
        <v>109</v>
      </c>
      <c r="D83" s="6">
        <v>0</v>
      </c>
      <c r="E83" s="6">
        <v>47.808</v>
      </c>
      <c r="F83" s="6">
        <v>0</v>
      </c>
      <c r="G83" s="6">
        <v>0</v>
      </c>
      <c r="H83" s="6">
        <v>0</v>
      </c>
      <c r="I83" s="6">
        <v>20846.9715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7">
        <f t="shared" si="2"/>
        <v>20894.7795</v>
      </c>
    </row>
    <row r="84" spans="1:18">
      <c r="A84" s="3" t="s">
        <v>24</v>
      </c>
      <c r="B84" s="3" t="s">
        <v>94</v>
      </c>
      <c r="C84" s="3" t="s">
        <v>110</v>
      </c>
      <c r="D84" s="6">
        <v>31.1603</v>
      </c>
      <c r="E84" s="6">
        <v>16.128</v>
      </c>
      <c r="F84" s="6">
        <v>0</v>
      </c>
      <c r="G84" s="6">
        <v>2406.4</v>
      </c>
      <c r="H84" s="6">
        <v>0</v>
      </c>
      <c r="I84" s="6">
        <v>473.5065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7">
        <f t="shared" si="2"/>
        <v>2927.1948</v>
      </c>
    </row>
    <row r="85" spans="1:18">
      <c r="A85" s="3" t="s">
        <v>24</v>
      </c>
      <c r="B85" s="3" t="s">
        <v>94</v>
      </c>
      <c r="C85" s="3" t="s">
        <v>111</v>
      </c>
      <c r="D85" s="6">
        <v>1.4707</v>
      </c>
      <c r="E85" s="6">
        <v>0</v>
      </c>
      <c r="F85" s="6">
        <v>0</v>
      </c>
      <c r="G85" s="6">
        <v>0</v>
      </c>
      <c r="H85" s="6">
        <v>0</v>
      </c>
      <c r="I85" s="6">
        <v>18054.921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7">
        <f t="shared" si="2"/>
        <v>18056.3917</v>
      </c>
    </row>
    <row r="86" spans="1:18">
      <c r="A86" s="3" t="s">
        <v>24</v>
      </c>
      <c r="B86" s="3" t="s">
        <v>94</v>
      </c>
      <c r="C86" s="3" t="s">
        <v>112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102.894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7">
        <f t="shared" si="2"/>
        <v>102.894</v>
      </c>
    </row>
    <row r="87" spans="1:18">
      <c r="A87" s="3" t="s">
        <v>24</v>
      </c>
      <c r="B87" s="3" t="s">
        <v>94</v>
      </c>
      <c r="C87" s="3" t="s">
        <v>113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13.461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7">
        <f t="shared" si="2"/>
        <v>13.461</v>
      </c>
    </row>
    <row r="88" spans="1:18">
      <c r="A88" s="3" t="s">
        <v>24</v>
      </c>
      <c r="B88" s="3" t="s">
        <v>94</v>
      </c>
      <c r="C88" s="3" t="s">
        <v>114</v>
      </c>
      <c r="D88" s="6">
        <v>0.1184</v>
      </c>
      <c r="E88" s="6">
        <v>0</v>
      </c>
      <c r="F88" s="6">
        <v>0</v>
      </c>
      <c r="G88" s="6">
        <v>0</v>
      </c>
      <c r="H88" s="6">
        <v>0</v>
      </c>
      <c r="I88" s="6">
        <v>558.9525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7">
        <f t="shared" si="2"/>
        <v>559.0709</v>
      </c>
    </row>
    <row r="89" spans="1:18">
      <c r="A89" s="3" t="s">
        <v>24</v>
      </c>
      <c r="B89" s="3" t="s">
        <v>94</v>
      </c>
      <c r="C89" s="3" t="s">
        <v>115</v>
      </c>
      <c r="D89" s="6">
        <v>10.1222</v>
      </c>
      <c r="E89" s="6">
        <v>0</v>
      </c>
      <c r="F89" s="6">
        <v>0</v>
      </c>
      <c r="G89" s="6">
        <v>0</v>
      </c>
      <c r="H89" s="6">
        <v>0</v>
      </c>
      <c r="I89" s="6">
        <v>706.398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7">
        <f t="shared" si="2"/>
        <v>716.5202</v>
      </c>
    </row>
    <row r="90" spans="1:18">
      <c r="A90" s="3" t="s">
        <v>24</v>
      </c>
      <c r="B90" s="3" t="s">
        <v>94</v>
      </c>
      <c r="C90" s="3" t="s">
        <v>116</v>
      </c>
      <c r="D90" s="6">
        <v>2.1644</v>
      </c>
      <c r="E90" s="6">
        <v>0</v>
      </c>
      <c r="F90" s="6">
        <v>0</v>
      </c>
      <c r="G90" s="6">
        <v>0</v>
      </c>
      <c r="H90" s="6">
        <v>0</v>
      </c>
      <c r="I90" s="6">
        <v>2763.918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7">
        <f t="shared" si="2"/>
        <v>2766.0824</v>
      </c>
    </row>
    <row r="91" spans="1:18">
      <c r="A91" s="3" t="s">
        <v>24</v>
      </c>
      <c r="B91" s="3" t="s">
        <v>94</v>
      </c>
      <c r="C91" s="3" t="s">
        <v>117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8631.1995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7">
        <f t="shared" si="2"/>
        <v>8631.1995</v>
      </c>
    </row>
    <row r="92" spans="1:18">
      <c r="A92" s="3" t="s">
        <v>24</v>
      </c>
      <c r="B92" s="3" t="s">
        <v>94</v>
      </c>
      <c r="C92" s="3" t="s">
        <v>118</v>
      </c>
      <c r="D92" s="6">
        <v>4.5706</v>
      </c>
      <c r="E92" s="6">
        <v>0</v>
      </c>
      <c r="F92" s="6">
        <v>0</v>
      </c>
      <c r="G92" s="6">
        <v>1570.4</v>
      </c>
      <c r="H92" s="6">
        <v>0</v>
      </c>
      <c r="I92" s="6">
        <v>14.0895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7">
        <f t="shared" si="2"/>
        <v>1589.0601</v>
      </c>
    </row>
    <row r="93" spans="1:18">
      <c r="A93" s="3" t="s">
        <v>24</v>
      </c>
      <c r="B93" s="3" t="s">
        <v>94</v>
      </c>
      <c r="C93" s="3" t="s">
        <v>119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19858.6125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7">
        <f t="shared" si="2"/>
        <v>19858.6125</v>
      </c>
    </row>
    <row r="94" spans="1:18">
      <c r="A94" s="3" t="s">
        <v>24</v>
      </c>
      <c r="B94" s="3" t="s">
        <v>94</v>
      </c>
      <c r="C94" s="3" t="s">
        <v>120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9386.3865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7">
        <f t="shared" si="2"/>
        <v>9386.3865</v>
      </c>
    </row>
    <row r="95" spans="1:18">
      <c r="A95" s="3" t="s">
        <v>24</v>
      </c>
      <c r="B95" s="3" t="s">
        <v>94</v>
      </c>
      <c r="C95" s="3" t="s">
        <v>121</v>
      </c>
      <c r="D95" s="6">
        <v>5.3434</v>
      </c>
      <c r="E95" s="6">
        <v>20.0866</v>
      </c>
      <c r="F95" s="6">
        <v>0</v>
      </c>
      <c r="G95" s="6">
        <v>0</v>
      </c>
      <c r="H95" s="6">
        <v>0</v>
      </c>
      <c r="I95" s="6">
        <v>194640.939</v>
      </c>
      <c r="J95" s="6">
        <v>32321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7">
        <f t="shared" si="2"/>
        <v>226987.369</v>
      </c>
    </row>
    <row r="96" spans="1:18">
      <c r="A96" s="3" t="s">
        <v>24</v>
      </c>
      <c r="B96" s="3" t="s">
        <v>94</v>
      </c>
      <c r="C96" s="3" t="s">
        <v>122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721.0995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7">
        <f t="shared" si="2"/>
        <v>721.0995</v>
      </c>
    </row>
    <row r="97" spans="1:18">
      <c r="A97" s="3" t="s">
        <v>24</v>
      </c>
      <c r="B97" s="3" t="s">
        <v>94</v>
      </c>
      <c r="C97" s="3" t="s">
        <v>123</v>
      </c>
      <c r="D97" s="6">
        <v>4.6492</v>
      </c>
      <c r="E97" s="6">
        <v>14.4</v>
      </c>
      <c r="F97" s="6">
        <v>0</v>
      </c>
      <c r="G97" s="6">
        <v>3228</v>
      </c>
      <c r="H97" s="6">
        <v>0</v>
      </c>
      <c r="I97" s="6">
        <v>8340.903</v>
      </c>
      <c r="J97" s="6">
        <v>19269.0225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7">
        <f t="shared" si="2"/>
        <v>30856.9747</v>
      </c>
    </row>
    <row r="98" spans="1:18">
      <c r="A98" s="3" t="s">
        <v>24</v>
      </c>
      <c r="B98" s="3" t="s">
        <v>94</v>
      </c>
      <c r="C98" s="3" t="s">
        <v>124</v>
      </c>
      <c r="D98" s="6">
        <v>3.522</v>
      </c>
      <c r="E98" s="6">
        <v>16.0373</v>
      </c>
      <c r="F98" s="6">
        <v>0</v>
      </c>
      <c r="G98" s="6">
        <v>2174</v>
      </c>
      <c r="H98" s="6">
        <v>0</v>
      </c>
      <c r="I98" s="6">
        <v>48180.0465</v>
      </c>
      <c r="J98" s="6">
        <v>17216.6661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7">
        <f t="shared" si="2"/>
        <v>67590.2719</v>
      </c>
    </row>
    <row r="99" spans="1:18">
      <c r="A99" s="3" t="s">
        <v>24</v>
      </c>
      <c r="B99" s="3" t="s">
        <v>94</v>
      </c>
      <c r="C99" s="3" t="s">
        <v>125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44.139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7">
        <f t="shared" si="2"/>
        <v>44.139</v>
      </c>
    </row>
    <row r="100" spans="1:18">
      <c r="A100" s="3" t="s">
        <v>24</v>
      </c>
      <c r="B100" s="3" t="s">
        <v>94</v>
      </c>
      <c r="C100" s="3" t="s">
        <v>126</v>
      </c>
      <c r="D100" s="6">
        <v>7.346</v>
      </c>
      <c r="E100" s="6">
        <v>0</v>
      </c>
      <c r="F100" s="6">
        <v>0</v>
      </c>
      <c r="G100" s="6">
        <v>5706.4</v>
      </c>
      <c r="H100" s="6">
        <v>0</v>
      </c>
      <c r="I100" s="6">
        <v>84.222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7">
        <f t="shared" si="2"/>
        <v>5797.968</v>
      </c>
    </row>
    <row r="101" spans="1:18">
      <c r="A101" s="3" t="s">
        <v>24</v>
      </c>
      <c r="B101" s="3" t="s">
        <v>94</v>
      </c>
      <c r="C101" s="3" t="s">
        <v>127</v>
      </c>
      <c r="D101" s="6">
        <v>1.255</v>
      </c>
      <c r="E101" s="6">
        <v>0</v>
      </c>
      <c r="F101" s="6">
        <v>0</v>
      </c>
      <c r="G101" s="6">
        <v>0</v>
      </c>
      <c r="H101" s="6">
        <v>0</v>
      </c>
      <c r="I101" s="6">
        <v>584.6115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7">
        <f t="shared" si="2"/>
        <v>585.8665</v>
      </c>
    </row>
    <row r="102" spans="1:18">
      <c r="A102" s="3" t="s">
        <v>24</v>
      </c>
      <c r="B102" s="3" t="s">
        <v>94</v>
      </c>
      <c r="C102" s="3" t="s">
        <v>128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8087.025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7">
        <f t="shared" si="2"/>
        <v>8087.025</v>
      </c>
    </row>
    <row r="103" spans="1:18">
      <c r="A103" s="3" t="s">
        <v>24</v>
      </c>
      <c r="B103" s="3" t="s">
        <v>94</v>
      </c>
      <c r="C103" s="3" t="s">
        <v>129</v>
      </c>
      <c r="D103" s="6">
        <v>3.5496</v>
      </c>
      <c r="E103" s="6">
        <v>12.8563</v>
      </c>
      <c r="F103" s="6">
        <v>0</v>
      </c>
      <c r="G103" s="6">
        <v>1553.2</v>
      </c>
      <c r="H103" s="6">
        <v>0</v>
      </c>
      <c r="I103" s="6">
        <v>141.111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7">
        <f t="shared" si="2"/>
        <v>1710.7169</v>
      </c>
    </row>
    <row r="104" spans="1:18">
      <c r="A104" s="3" t="s">
        <v>24</v>
      </c>
      <c r="B104" s="3" t="s">
        <v>94</v>
      </c>
      <c r="C104" s="3" t="s">
        <v>130</v>
      </c>
      <c r="D104" s="6">
        <v>24.7248</v>
      </c>
      <c r="E104" s="6">
        <v>15.318</v>
      </c>
      <c r="F104" s="6">
        <v>0</v>
      </c>
      <c r="G104" s="6">
        <v>15710.4</v>
      </c>
      <c r="H104" s="6">
        <v>0</v>
      </c>
      <c r="I104" s="6">
        <v>119.799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7">
        <f t="shared" si="2"/>
        <v>15870.2418</v>
      </c>
    </row>
    <row r="105" spans="1:18">
      <c r="A105" s="3" t="s">
        <v>24</v>
      </c>
      <c r="B105" s="3" t="s">
        <v>94</v>
      </c>
      <c r="C105" s="3" t="s">
        <v>131</v>
      </c>
      <c r="D105" s="6">
        <v>8.4967</v>
      </c>
      <c r="E105" s="6">
        <v>11.0275</v>
      </c>
      <c r="F105" s="6">
        <v>0</v>
      </c>
      <c r="G105" s="6">
        <v>1396.4</v>
      </c>
      <c r="H105" s="6">
        <v>0</v>
      </c>
      <c r="I105" s="6">
        <v>18791.973</v>
      </c>
      <c r="J105" s="6">
        <v>8143.7696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7">
        <f t="shared" si="2"/>
        <v>28351.6668</v>
      </c>
    </row>
    <row r="106" spans="1:18">
      <c r="A106" s="3" t="s">
        <v>24</v>
      </c>
      <c r="B106" s="3" t="s">
        <v>94</v>
      </c>
      <c r="C106" s="3" t="s">
        <v>132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1629.9915</v>
      </c>
      <c r="J106" s="6">
        <v>15404.35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7">
        <f t="shared" si="2"/>
        <v>17034.3415</v>
      </c>
    </row>
    <row r="107" spans="1:18">
      <c r="A107" s="3" t="s">
        <v>24</v>
      </c>
      <c r="B107" s="3" t="s">
        <v>94</v>
      </c>
      <c r="C107" s="3" t="s">
        <v>133</v>
      </c>
      <c r="D107" s="6">
        <v>3.1189</v>
      </c>
      <c r="E107" s="6">
        <v>554.8032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7">
        <f t="shared" ref="R107:R138" si="3">SUM(D107:Q107)</f>
        <v>557.9221</v>
      </c>
    </row>
    <row r="108" spans="1:18">
      <c r="A108" s="3" t="s">
        <v>24</v>
      </c>
      <c r="B108" s="3" t="s">
        <v>94</v>
      </c>
      <c r="C108" s="3" t="s">
        <v>134</v>
      </c>
      <c r="D108" s="6">
        <v>1.3924</v>
      </c>
      <c r="E108" s="6">
        <v>277.56</v>
      </c>
      <c r="F108" s="6">
        <v>0</v>
      </c>
      <c r="G108" s="6">
        <v>0</v>
      </c>
      <c r="H108" s="6">
        <v>0</v>
      </c>
      <c r="I108" s="6">
        <v>145.617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7">
        <f t="shared" si="3"/>
        <v>424.5694</v>
      </c>
    </row>
    <row r="109" spans="1:18">
      <c r="A109" s="3" t="s">
        <v>24</v>
      </c>
      <c r="B109" s="3" t="s">
        <v>94</v>
      </c>
      <c r="C109" s="3" t="s">
        <v>135</v>
      </c>
      <c r="D109" s="6">
        <v>2.4485</v>
      </c>
      <c r="E109" s="6">
        <v>0</v>
      </c>
      <c r="F109" s="6">
        <v>0</v>
      </c>
      <c r="G109" s="6">
        <v>1828.8</v>
      </c>
      <c r="H109" s="6">
        <v>0</v>
      </c>
      <c r="I109" s="6">
        <v>400.377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7">
        <f t="shared" si="3"/>
        <v>2231.6255</v>
      </c>
    </row>
    <row r="110" spans="1:18">
      <c r="A110" s="3" t="s">
        <v>24</v>
      </c>
      <c r="B110" s="3" t="s">
        <v>94</v>
      </c>
      <c r="C110" s="3" t="s">
        <v>136</v>
      </c>
      <c r="D110" s="6">
        <v>2.677</v>
      </c>
      <c r="E110" s="6">
        <v>21.4502</v>
      </c>
      <c r="F110" s="6">
        <v>0</v>
      </c>
      <c r="G110" s="6">
        <v>1882.8</v>
      </c>
      <c r="H110" s="6">
        <v>0</v>
      </c>
      <c r="I110" s="6">
        <v>34.035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7">
        <f t="shared" si="3"/>
        <v>1940.9622</v>
      </c>
    </row>
    <row r="111" spans="1:18">
      <c r="A111" s="3" t="s">
        <v>24</v>
      </c>
      <c r="B111" s="3" t="s">
        <v>94</v>
      </c>
      <c r="C111" s="3" t="s">
        <v>137</v>
      </c>
      <c r="D111" s="6">
        <v>3.5716</v>
      </c>
      <c r="E111" s="6">
        <v>0</v>
      </c>
      <c r="F111" s="6">
        <v>0</v>
      </c>
      <c r="G111" s="6">
        <v>0</v>
      </c>
      <c r="H111" s="6">
        <v>0</v>
      </c>
      <c r="I111" s="6">
        <v>226.635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7">
        <f t="shared" si="3"/>
        <v>230.2066</v>
      </c>
    </row>
    <row r="112" spans="1:18">
      <c r="A112" s="3" t="s">
        <v>24</v>
      </c>
      <c r="B112" s="3" t="s">
        <v>94</v>
      </c>
      <c r="C112" s="3" t="s">
        <v>138</v>
      </c>
      <c r="D112" s="6">
        <v>2.161</v>
      </c>
      <c r="E112" s="6">
        <v>0</v>
      </c>
      <c r="F112" s="6">
        <v>0</v>
      </c>
      <c r="G112" s="6">
        <v>2190.4</v>
      </c>
      <c r="H112" s="6">
        <v>0</v>
      </c>
      <c r="I112" s="6">
        <v>26354.598</v>
      </c>
      <c r="J112" s="6">
        <v>7511.3605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7">
        <f t="shared" si="3"/>
        <v>36058.5195</v>
      </c>
    </row>
    <row r="113" spans="1:18">
      <c r="A113" s="3" t="s">
        <v>24</v>
      </c>
      <c r="B113" s="3" t="s">
        <v>94</v>
      </c>
      <c r="C113" s="3" t="s">
        <v>139</v>
      </c>
      <c r="D113" s="6">
        <v>2.182</v>
      </c>
      <c r="E113" s="6">
        <v>0</v>
      </c>
      <c r="F113" s="6">
        <v>0</v>
      </c>
      <c r="G113" s="6">
        <v>784.8</v>
      </c>
      <c r="H113" s="6">
        <v>0</v>
      </c>
      <c r="I113" s="6">
        <v>96.861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7">
        <f t="shared" si="3"/>
        <v>883.843</v>
      </c>
    </row>
    <row r="114" spans="1:18">
      <c r="A114" s="3" t="s">
        <v>24</v>
      </c>
      <c r="B114" s="3" t="s">
        <v>94</v>
      </c>
      <c r="C114" s="3" t="s">
        <v>140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22870.0935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7">
        <f t="shared" si="3"/>
        <v>22870.0935</v>
      </c>
    </row>
    <row r="115" spans="1:18">
      <c r="A115" s="3" t="s">
        <v>24</v>
      </c>
      <c r="B115" s="3" t="s">
        <v>94</v>
      </c>
      <c r="C115" s="3" t="s">
        <v>141</v>
      </c>
      <c r="D115" s="6">
        <v>0.3766</v>
      </c>
      <c r="E115" s="6">
        <v>0</v>
      </c>
      <c r="F115" s="6">
        <v>0</v>
      </c>
      <c r="G115" s="6">
        <v>0</v>
      </c>
      <c r="H115" s="6">
        <v>0</v>
      </c>
      <c r="I115" s="6">
        <v>97.599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7">
        <f t="shared" si="3"/>
        <v>97.9756</v>
      </c>
    </row>
    <row r="116" spans="1:18">
      <c r="A116" s="3" t="s">
        <v>24</v>
      </c>
      <c r="B116" s="3" t="s">
        <v>94</v>
      </c>
      <c r="C116" s="3" t="s">
        <v>142</v>
      </c>
      <c r="D116" s="6">
        <v>15.4582</v>
      </c>
      <c r="E116" s="6">
        <v>17.1</v>
      </c>
      <c r="F116" s="6">
        <v>0</v>
      </c>
      <c r="G116" s="6">
        <v>0</v>
      </c>
      <c r="H116" s="6">
        <v>0</v>
      </c>
      <c r="I116" s="6">
        <v>40069.9935</v>
      </c>
      <c r="J116" s="6">
        <v>16073.25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7">
        <f t="shared" si="3"/>
        <v>56175.8017</v>
      </c>
    </row>
    <row r="117" spans="1:18">
      <c r="A117" s="3" t="s">
        <v>24</v>
      </c>
      <c r="B117" s="3" t="s">
        <v>94</v>
      </c>
      <c r="C117" s="3" t="s">
        <v>143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7">
        <f t="shared" si="3"/>
        <v>0</v>
      </c>
    </row>
    <row r="118" spans="1:18">
      <c r="A118" s="3" t="s">
        <v>24</v>
      </c>
      <c r="B118" s="3" t="s">
        <v>94</v>
      </c>
      <c r="C118" s="3" t="s">
        <v>144</v>
      </c>
      <c r="D118" s="6">
        <v>11.6467</v>
      </c>
      <c r="E118" s="6">
        <v>3.7822</v>
      </c>
      <c r="F118" s="6">
        <v>0</v>
      </c>
      <c r="G118" s="6">
        <v>0</v>
      </c>
      <c r="H118" s="6">
        <v>0</v>
      </c>
      <c r="I118" s="6">
        <v>2157.8535</v>
      </c>
      <c r="J118" s="6">
        <v>18088.965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7">
        <f t="shared" si="3"/>
        <v>20262.2474</v>
      </c>
    </row>
    <row r="119" spans="1:18">
      <c r="A119" s="3" t="s">
        <v>24</v>
      </c>
      <c r="B119" s="3" t="s">
        <v>94</v>
      </c>
      <c r="C119" s="3" t="s">
        <v>145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26.3505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7">
        <f t="shared" si="3"/>
        <v>26.3505</v>
      </c>
    </row>
    <row r="120" spans="1:18">
      <c r="A120" s="3" t="s">
        <v>24</v>
      </c>
      <c r="B120" s="3" t="s">
        <v>94</v>
      </c>
      <c r="C120" s="3" t="s">
        <v>146</v>
      </c>
      <c r="D120" s="6">
        <v>11.6395</v>
      </c>
      <c r="E120" s="6">
        <v>139.86</v>
      </c>
      <c r="F120" s="6">
        <v>0</v>
      </c>
      <c r="G120" s="6">
        <v>0</v>
      </c>
      <c r="H120" s="6">
        <v>0</v>
      </c>
      <c r="I120" s="6">
        <v>1.23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7">
        <f t="shared" si="3"/>
        <v>152.7295</v>
      </c>
    </row>
    <row r="121" spans="1:18">
      <c r="A121" s="3" t="s">
        <v>24</v>
      </c>
      <c r="B121" s="3" t="s">
        <v>94</v>
      </c>
      <c r="C121" s="3" t="s">
        <v>147</v>
      </c>
      <c r="D121" s="6">
        <v>3.6544</v>
      </c>
      <c r="E121" s="6">
        <v>0</v>
      </c>
      <c r="F121" s="6">
        <v>0</v>
      </c>
      <c r="G121" s="6">
        <v>0</v>
      </c>
      <c r="H121" s="6">
        <v>0</v>
      </c>
      <c r="I121" s="6">
        <v>816.918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7">
        <f t="shared" si="3"/>
        <v>820.5724</v>
      </c>
    </row>
    <row r="122" spans="1:18">
      <c r="A122" s="3" t="s">
        <v>24</v>
      </c>
      <c r="B122" s="3" t="s">
        <v>94</v>
      </c>
      <c r="C122" s="3" t="s">
        <v>148</v>
      </c>
      <c r="D122" s="6">
        <v>1.0166</v>
      </c>
      <c r="E122" s="6">
        <v>0</v>
      </c>
      <c r="F122" s="6">
        <v>0</v>
      </c>
      <c r="G122" s="6">
        <v>0</v>
      </c>
      <c r="H122" s="6">
        <v>0</v>
      </c>
      <c r="I122" s="6">
        <v>74.2605</v>
      </c>
      <c r="J122" s="6">
        <v>19367.2067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7">
        <f t="shared" si="3"/>
        <v>19442.4838</v>
      </c>
    </row>
    <row r="123" spans="1:18">
      <c r="A123" s="3" t="s">
        <v>24</v>
      </c>
      <c r="B123" s="3" t="s">
        <v>94</v>
      </c>
      <c r="C123" s="3" t="s">
        <v>149</v>
      </c>
      <c r="D123" s="6">
        <v>19.2575</v>
      </c>
      <c r="E123" s="6">
        <v>0</v>
      </c>
      <c r="F123" s="6">
        <v>0</v>
      </c>
      <c r="G123" s="6">
        <v>339.2</v>
      </c>
      <c r="H123" s="6">
        <v>0</v>
      </c>
      <c r="I123" s="6">
        <v>57117.4125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7">
        <f t="shared" si="3"/>
        <v>57475.87</v>
      </c>
    </row>
    <row r="124" spans="1:18">
      <c r="A124" s="3" t="s">
        <v>24</v>
      </c>
      <c r="B124" s="3" t="s">
        <v>94</v>
      </c>
      <c r="C124" s="3" t="s">
        <v>150</v>
      </c>
      <c r="D124" s="6">
        <v>38.7282</v>
      </c>
      <c r="E124" s="6">
        <v>26.3923</v>
      </c>
      <c r="F124" s="6">
        <v>0</v>
      </c>
      <c r="G124" s="6">
        <v>0</v>
      </c>
      <c r="H124" s="6">
        <v>0</v>
      </c>
      <c r="I124" s="6">
        <v>93151.9665</v>
      </c>
      <c r="J124" s="6">
        <v>95388.9924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7">
        <f t="shared" si="3"/>
        <v>188606.0794</v>
      </c>
    </row>
    <row r="125" spans="1:18">
      <c r="A125" s="3" t="s">
        <v>24</v>
      </c>
      <c r="B125" s="3" t="s">
        <v>94</v>
      </c>
      <c r="C125" s="3" t="s">
        <v>151</v>
      </c>
      <c r="D125" s="6">
        <v>8.7548</v>
      </c>
      <c r="E125" s="6">
        <v>0</v>
      </c>
      <c r="F125" s="6">
        <v>0</v>
      </c>
      <c r="G125" s="6">
        <v>1868</v>
      </c>
      <c r="H125" s="6">
        <v>0</v>
      </c>
      <c r="I125" s="6">
        <v>162360.72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7">
        <f t="shared" si="3"/>
        <v>164237.4748</v>
      </c>
    </row>
    <row r="126" spans="1:18">
      <c r="A126" s="3" t="s">
        <v>24</v>
      </c>
      <c r="B126" s="3" t="s">
        <v>94</v>
      </c>
      <c r="C126" s="3" t="s">
        <v>152</v>
      </c>
      <c r="D126" s="6">
        <v>6.7291</v>
      </c>
      <c r="E126" s="6">
        <v>8.424</v>
      </c>
      <c r="F126" s="6">
        <v>0</v>
      </c>
      <c r="G126" s="6">
        <v>0</v>
      </c>
      <c r="H126" s="6">
        <v>0</v>
      </c>
      <c r="I126" s="6">
        <v>98.502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7">
        <f t="shared" si="3"/>
        <v>113.6551</v>
      </c>
    </row>
    <row r="127" spans="1:18">
      <c r="A127" s="3" t="s">
        <v>24</v>
      </c>
      <c r="B127" s="3" t="s">
        <v>94</v>
      </c>
      <c r="C127" s="3" t="s">
        <v>153</v>
      </c>
      <c r="D127" s="6">
        <v>2.695</v>
      </c>
      <c r="E127" s="6">
        <v>7.488</v>
      </c>
      <c r="F127" s="6">
        <v>0</v>
      </c>
      <c r="G127" s="6">
        <v>0</v>
      </c>
      <c r="H127" s="6">
        <v>0</v>
      </c>
      <c r="I127" s="6">
        <v>16.386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7">
        <f t="shared" si="3"/>
        <v>26.569</v>
      </c>
    </row>
    <row r="128" spans="1:18">
      <c r="A128" s="3" t="s">
        <v>24</v>
      </c>
      <c r="B128" s="3" t="s">
        <v>94</v>
      </c>
      <c r="C128" s="3" t="s">
        <v>154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302.925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7">
        <f t="shared" si="3"/>
        <v>302.925</v>
      </c>
    </row>
    <row r="129" spans="1:18">
      <c r="A129" s="3" t="s">
        <v>24</v>
      </c>
      <c r="B129" s="3" t="s">
        <v>94</v>
      </c>
      <c r="C129" s="3" t="s">
        <v>155</v>
      </c>
      <c r="D129" s="6">
        <v>3.6359</v>
      </c>
      <c r="E129" s="6">
        <v>0</v>
      </c>
      <c r="F129" s="6">
        <v>0</v>
      </c>
      <c r="G129" s="6">
        <v>0</v>
      </c>
      <c r="H129" s="6">
        <v>0</v>
      </c>
      <c r="I129" s="6">
        <v>1719.081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7">
        <f t="shared" si="3"/>
        <v>1722.7169</v>
      </c>
    </row>
    <row r="130" spans="1:18">
      <c r="A130" s="3" t="s">
        <v>24</v>
      </c>
      <c r="B130" s="3" t="s">
        <v>94</v>
      </c>
      <c r="C130" s="3" t="s">
        <v>156</v>
      </c>
      <c r="D130" s="6">
        <v>3.694</v>
      </c>
      <c r="E130" s="6">
        <v>0</v>
      </c>
      <c r="F130" s="6">
        <v>0</v>
      </c>
      <c r="G130" s="6">
        <v>0</v>
      </c>
      <c r="H130" s="6">
        <v>0</v>
      </c>
      <c r="I130" s="6">
        <v>15.3195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7">
        <f t="shared" si="3"/>
        <v>19.0135</v>
      </c>
    </row>
    <row r="131" spans="1:18">
      <c r="A131" s="3" t="s">
        <v>24</v>
      </c>
      <c r="B131" s="3" t="s">
        <v>94</v>
      </c>
      <c r="C131" s="3" t="s">
        <v>157</v>
      </c>
      <c r="D131" s="6">
        <v>0.9996</v>
      </c>
      <c r="E131" s="6">
        <v>0</v>
      </c>
      <c r="F131" s="6">
        <v>0</v>
      </c>
      <c r="G131" s="6">
        <v>0</v>
      </c>
      <c r="H131" s="6">
        <v>0</v>
      </c>
      <c r="I131" s="6">
        <v>0.5535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7">
        <f t="shared" si="3"/>
        <v>1.5531</v>
      </c>
    </row>
    <row r="132" spans="1:18">
      <c r="A132" s="3" t="s">
        <v>24</v>
      </c>
      <c r="B132" s="3" t="s">
        <v>94</v>
      </c>
      <c r="C132" s="3" t="s">
        <v>158</v>
      </c>
      <c r="D132" s="6">
        <v>7.7951</v>
      </c>
      <c r="E132" s="6">
        <v>35.28</v>
      </c>
      <c r="F132" s="6">
        <v>0</v>
      </c>
      <c r="G132" s="6">
        <v>855.6</v>
      </c>
      <c r="H132" s="6">
        <v>0</v>
      </c>
      <c r="I132" s="6">
        <v>2.052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7">
        <f t="shared" si="3"/>
        <v>900.7271</v>
      </c>
    </row>
    <row r="133" spans="1:18">
      <c r="A133" s="3" t="s">
        <v>24</v>
      </c>
      <c r="B133" s="3" t="s">
        <v>94</v>
      </c>
      <c r="C133" s="3" t="s">
        <v>159</v>
      </c>
      <c r="D133" s="6">
        <v>6.4886</v>
      </c>
      <c r="E133" s="6">
        <v>31.428</v>
      </c>
      <c r="F133" s="6">
        <v>0</v>
      </c>
      <c r="G133" s="6">
        <v>2708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7">
        <f t="shared" si="3"/>
        <v>2745.9166</v>
      </c>
    </row>
    <row r="134" spans="1:18">
      <c r="A134" s="3" t="s">
        <v>24</v>
      </c>
      <c r="B134" s="3" t="s">
        <v>94</v>
      </c>
      <c r="C134" s="3" t="s">
        <v>160</v>
      </c>
      <c r="D134" s="6">
        <v>1.1684</v>
      </c>
      <c r="E134" s="6">
        <v>5.346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7">
        <f t="shared" si="3"/>
        <v>6.5144</v>
      </c>
    </row>
    <row r="135" spans="1:18">
      <c r="A135" s="3" t="s">
        <v>24</v>
      </c>
      <c r="B135" s="3" t="s">
        <v>94</v>
      </c>
      <c r="C135" s="3" t="s">
        <v>161</v>
      </c>
      <c r="D135" s="6">
        <v>0.9776</v>
      </c>
      <c r="E135" s="6">
        <v>0</v>
      </c>
      <c r="F135" s="6">
        <v>0</v>
      </c>
      <c r="G135" s="6">
        <v>0</v>
      </c>
      <c r="H135" s="6">
        <v>0</v>
      </c>
      <c r="I135" s="6">
        <v>479.9805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7">
        <f t="shared" si="3"/>
        <v>480.9581</v>
      </c>
    </row>
    <row r="136" spans="1:18">
      <c r="A136" s="3" t="s">
        <v>24</v>
      </c>
      <c r="B136" s="3" t="s">
        <v>94</v>
      </c>
      <c r="C136" s="3" t="s">
        <v>162</v>
      </c>
      <c r="D136" s="6">
        <v>7.1686</v>
      </c>
      <c r="E136" s="6">
        <v>0</v>
      </c>
      <c r="F136" s="6">
        <v>0</v>
      </c>
      <c r="G136" s="6">
        <v>1581.6</v>
      </c>
      <c r="H136" s="6">
        <v>0</v>
      </c>
      <c r="I136" s="6">
        <v>66.21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7">
        <f t="shared" si="3"/>
        <v>1654.9786</v>
      </c>
    </row>
    <row r="137" spans="1:18">
      <c r="A137" s="3" t="s">
        <v>24</v>
      </c>
      <c r="B137" s="3" t="s">
        <v>94</v>
      </c>
      <c r="C137" s="3" t="s">
        <v>163</v>
      </c>
      <c r="D137" s="6">
        <v>1.3592</v>
      </c>
      <c r="E137" s="6">
        <v>0</v>
      </c>
      <c r="F137" s="6">
        <v>0</v>
      </c>
      <c r="G137" s="6">
        <v>0</v>
      </c>
      <c r="H137" s="6">
        <v>0</v>
      </c>
      <c r="I137" s="6">
        <v>148.0335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7">
        <f t="shared" si="3"/>
        <v>149.3927</v>
      </c>
    </row>
    <row r="138" spans="1:18">
      <c r="A138" s="3" t="s">
        <v>24</v>
      </c>
      <c r="B138" s="3" t="s">
        <v>94</v>
      </c>
      <c r="C138" s="3" t="s">
        <v>164</v>
      </c>
      <c r="D138" s="6">
        <v>13.7092</v>
      </c>
      <c r="E138" s="6">
        <v>194.292</v>
      </c>
      <c r="F138" s="6">
        <v>0</v>
      </c>
      <c r="G138" s="6">
        <v>3552.8</v>
      </c>
      <c r="H138" s="6">
        <v>0</v>
      </c>
      <c r="I138" s="6">
        <v>1481.3085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7">
        <f t="shared" ref="R138:R172" si="4">SUM(D138:Q138)</f>
        <v>5242.1097</v>
      </c>
    </row>
    <row r="139" spans="1:18">
      <c r="A139" s="3" t="s">
        <v>24</v>
      </c>
      <c r="B139" s="3" t="s">
        <v>94</v>
      </c>
      <c r="C139" s="3" t="s">
        <v>165</v>
      </c>
      <c r="D139" s="6">
        <v>11.281</v>
      </c>
      <c r="E139" s="6">
        <v>2.6294</v>
      </c>
      <c r="F139" s="6">
        <v>0</v>
      </c>
      <c r="G139" s="6">
        <v>0</v>
      </c>
      <c r="H139" s="6">
        <v>0</v>
      </c>
      <c r="I139" s="6">
        <v>2118.0555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7">
        <f t="shared" si="4"/>
        <v>2131.9659</v>
      </c>
    </row>
    <row r="140" spans="1:18">
      <c r="A140" s="3" t="s">
        <v>24</v>
      </c>
      <c r="B140" s="3" t="s">
        <v>94</v>
      </c>
      <c r="C140" s="3" t="s">
        <v>166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2975.583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7">
        <f t="shared" si="4"/>
        <v>2975.583</v>
      </c>
    </row>
    <row r="141" spans="1:18">
      <c r="A141" s="3" t="s">
        <v>24</v>
      </c>
      <c r="B141" s="3" t="s">
        <v>94</v>
      </c>
      <c r="C141" s="3" t="s">
        <v>167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205.377</v>
      </c>
      <c r="J141" s="6">
        <v>21547.175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7">
        <f t="shared" si="4"/>
        <v>21752.552</v>
      </c>
    </row>
    <row r="142" spans="1:18">
      <c r="A142" s="3" t="s">
        <v>24</v>
      </c>
      <c r="B142" s="3" t="s">
        <v>94</v>
      </c>
      <c r="C142" s="3" t="s">
        <v>168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7">
        <f t="shared" si="4"/>
        <v>0</v>
      </c>
    </row>
    <row r="143" spans="1:18">
      <c r="A143" s="3" t="s">
        <v>24</v>
      </c>
      <c r="B143" s="3" t="s">
        <v>94</v>
      </c>
      <c r="C143" s="3" t="s">
        <v>169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413.9955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7">
        <f t="shared" si="4"/>
        <v>413.9955</v>
      </c>
    </row>
    <row r="144" spans="1:18">
      <c r="A144" s="3" t="s">
        <v>24</v>
      </c>
      <c r="B144" s="3" t="s">
        <v>94</v>
      </c>
      <c r="C144" s="3" t="s">
        <v>170</v>
      </c>
      <c r="D144" s="6">
        <v>1.3673</v>
      </c>
      <c r="E144" s="6">
        <v>0</v>
      </c>
      <c r="F144" s="6">
        <v>0</v>
      </c>
      <c r="G144" s="6">
        <v>0</v>
      </c>
      <c r="H144" s="6">
        <v>0</v>
      </c>
      <c r="I144" s="6">
        <v>870.5475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7">
        <f t="shared" si="4"/>
        <v>871.9148</v>
      </c>
    </row>
    <row r="145" spans="1:18">
      <c r="A145" s="3" t="s">
        <v>24</v>
      </c>
      <c r="B145" s="3" t="s">
        <v>94</v>
      </c>
      <c r="C145" s="3" t="s">
        <v>171</v>
      </c>
      <c r="D145" s="6">
        <v>12.785</v>
      </c>
      <c r="E145" s="6">
        <v>0</v>
      </c>
      <c r="F145" s="6">
        <v>0</v>
      </c>
      <c r="G145" s="6">
        <v>3970.4</v>
      </c>
      <c r="H145" s="6">
        <v>0</v>
      </c>
      <c r="I145" s="6">
        <v>416.0925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7">
        <f t="shared" si="4"/>
        <v>4399.2775</v>
      </c>
    </row>
    <row r="146" spans="1:18">
      <c r="A146" s="3" t="s">
        <v>24</v>
      </c>
      <c r="B146" s="3" t="s">
        <v>94</v>
      </c>
      <c r="C146" s="3" t="s">
        <v>172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392821.7475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7">
        <f t="shared" si="4"/>
        <v>392821.7475</v>
      </c>
    </row>
    <row r="147" spans="1:18">
      <c r="A147" s="3" t="s">
        <v>24</v>
      </c>
      <c r="B147" s="3" t="s">
        <v>94</v>
      </c>
      <c r="C147" s="3" t="s">
        <v>173</v>
      </c>
      <c r="D147" s="6">
        <v>15.5311</v>
      </c>
      <c r="E147" s="6">
        <v>37.368</v>
      </c>
      <c r="F147" s="6">
        <v>0</v>
      </c>
      <c r="G147" s="6">
        <v>0</v>
      </c>
      <c r="H147" s="6">
        <v>0</v>
      </c>
      <c r="I147" s="6">
        <v>4210.6455</v>
      </c>
      <c r="J147" s="6">
        <v>23325.1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7">
        <f t="shared" si="4"/>
        <v>27588.6446</v>
      </c>
    </row>
    <row r="148" spans="1:18">
      <c r="A148" s="3" t="s">
        <v>24</v>
      </c>
      <c r="B148" s="3" t="s">
        <v>94</v>
      </c>
      <c r="C148" s="3" t="s">
        <v>174</v>
      </c>
      <c r="D148" s="6">
        <v>8.4812</v>
      </c>
      <c r="E148" s="6">
        <v>33.84</v>
      </c>
      <c r="F148" s="6">
        <v>0</v>
      </c>
      <c r="G148" s="6">
        <v>0</v>
      </c>
      <c r="H148" s="6">
        <v>0</v>
      </c>
      <c r="I148" s="6">
        <v>215.952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7">
        <f t="shared" si="4"/>
        <v>258.2732</v>
      </c>
    </row>
    <row r="149" spans="1:18">
      <c r="A149" s="3" t="s">
        <v>24</v>
      </c>
      <c r="B149" s="3" t="s">
        <v>94</v>
      </c>
      <c r="C149" s="3" t="s">
        <v>175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1516.443</v>
      </c>
      <c r="J149" s="6">
        <v>21202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7">
        <f t="shared" si="4"/>
        <v>22718.443</v>
      </c>
    </row>
    <row r="150" spans="1:18">
      <c r="A150" s="3" t="s">
        <v>24</v>
      </c>
      <c r="B150" s="3" t="s">
        <v>94</v>
      </c>
      <c r="C150" s="3" t="s">
        <v>176</v>
      </c>
      <c r="D150" s="6">
        <v>12.1741</v>
      </c>
      <c r="E150" s="6">
        <v>17.6904</v>
      </c>
      <c r="F150" s="6">
        <v>0</v>
      </c>
      <c r="G150" s="6">
        <v>0</v>
      </c>
      <c r="H150" s="6">
        <v>0</v>
      </c>
      <c r="I150" s="6">
        <v>364.695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7">
        <f t="shared" si="4"/>
        <v>394.5595</v>
      </c>
    </row>
    <row r="151" spans="1:18">
      <c r="A151" s="3" t="s">
        <v>24</v>
      </c>
      <c r="B151" s="3" t="s">
        <v>94</v>
      </c>
      <c r="C151" s="3" t="s">
        <v>177</v>
      </c>
      <c r="D151" s="6">
        <v>0</v>
      </c>
      <c r="E151" s="6">
        <v>37.8</v>
      </c>
      <c r="F151" s="6">
        <v>0</v>
      </c>
      <c r="G151" s="6">
        <v>0</v>
      </c>
      <c r="H151" s="6">
        <v>0</v>
      </c>
      <c r="I151" s="6">
        <v>878.574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7">
        <f t="shared" si="4"/>
        <v>916.374</v>
      </c>
    </row>
    <row r="152" spans="1:18">
      <c r="A152" s="3" t="s">
        <v>24</v>
      </c>
      <c r="B152" s="3" t="s">
        <v>94</v>
      </c>
      <c r="C152" s="3" t="s">
        <v>178</v>
      </c>
      <c r="D152" s="6">
        <v>1.9048</v>
      </c>
      <c r="E152" s="6">
        <v>0</v>
      </c>
      <c r="F152" s="6">
        <v>0</v>
      </c>
      <c r="G152" s="6">
        <v>0</v>
      </c>
      <c r="H152" s="6">
        <v>0</v>
      </c>
      <c r="I152" s="6">
        <v>224.169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7">
        <f t="shared" si="4"/>
        <v>226.0738</v>
      </c>
    </row>
    <row r="153" spans="1:18">
      <c r="A153" s="3" t="s">
        <v>24</v>
      </c>
      <c r="B153" s="3" t="s">
        <v>94</v>
      </c>
      <c r="C153" s="3" t="s">
        <v>179</v>
      </c>
      <c r="D153" s="6">
        <v>3.5046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7">
        <f t="shared" si="4"/>
        <v>3.5046</v>
      </c>
    </row>
    <row r="154" spans="1:18">
      <c r="A154" s="3" t="s">
        <v>24</v>
      </c>
      <c r="B154" s="3" t="s">
        <v>180</v>
      </c>
      <c r="C154" s="3" t="s">
        <v>181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3313.6035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7">
        <f t="shared" si="4"/>
        <v>3313.6035</v>
      </c>
    </row>
    <row r="155" spans="1:18">
      <c r="A155" s="3" t="s">
        <v>24</v>
      </c>
      <c r="B155" s="3" t="s">
        <v>180</v>
      </c>
      <c r="C155" s="3" t="s">
        <v>182</v>
      </c>
      <c r="D155" s="6">
        <v>0</v>
      </c>
      <c r="E155" s="6">
        <v>7.056</v>
      </c>
      <c r="F155" s="6">
        <v>0</v>
      </c>
      <c r="G155" s="6">
        <v>0</v>
      </c>
      <c r="H155" s="6">
        <v>0</v>
      </c>
      <c r="I155" s="6">
        <v>23077.3425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7">
        <f t="shared" si="4"/>
        <v>23084.3985</v>
      </c>
    </row>
    <row r="156" spans="1:18">
      <c r="A156" s="3" t="s">
        <v>24</v>
      </c>
      <c r="B156" s="3" t="s">
        <v>180</v>
      </c>
      <c r="C156" s="3" t="s">
        <v>183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666.8475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7">
        <f t="shared" si="4"/>
        <v>666.8475</v>
      </c>
    </row>
    <row r="157" spans="1:18">
      <c r="A157" s="3" t="s">
        <v>24</v>
      </c>
      <c r="B157" s="3" t="s">
        <v>180</v>
      </c>
      <c r="C157" s="3" t="s">
        <v>184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398.0415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7">
        <f t="shared" si="4"/>
        <v>398.0415</v>
      </c>
    </row>
    <row r="158" spans="1:18">
      <c r="A158" s="3" t="s">
        <v>24</v>
      </c>
      <c r="B158" s="3" t="s">
        <v>180</v>
      </c>
      <c r="C158" s="3" t="s">
        <v>185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86874.2295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7">
        <f t="shared" si="4"/>
        <v>86874.2295</v>
      </c>
    </row>
    <row r="159" spans="1:18">
      <c r="A159" s="3" t="s">
        <v>24</v>
      </c>
      <c r="B159" s="3" t="s">
        <v>180</v>
      </c>
      <c r="C159" s="3" t="s">
        <v>186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436824.2505</v>
      </c>
      <c r="J159" s="6">
        <v>61167.045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7">
        <f t="shared" si="4"/>
        <v>497991.2955</v>
      </c>
    </row>
    <row r="160" spans="1:18">
      <c r="A160" s="3" t="s">
        <v>24</v>
      </c>
      <c r="B160" s="3" t="s">
        <v>180</v>
      </c>
      <c r="C160" s="3" t="s">
        <v>187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386544.153</v>
      </c>
      <c r="J160" s="6">
        <v>79128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7">
        <f t="shared" si="4"/>
        <v>465672.153</v>
      </c>
    </row>
    <row r="161" spans="1:18">
      <c r="A161" s="3" t="s">
        <v>24</v>
      </c>
      <c r="B161" s="3" t="s">
        <v>180</v>
      </c>
      <c r="C161" s="3" t="s">
        <v>188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74244.606</v>
      </c>
      <c r="J161" s="6">
        <v>78868.5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7">
        <f t="shared" si="4"/>
        <v>153113.106</v>
      </c>
    </row>
    <row r="162" spans="1:18">
      <c r="A162" s="3" t="s">
        <v>24</v>
      </c>
      <c r="B162" s="3" t="s">
        <v>180</v>
      </c>
      <c r="C162" s="3" t="s">
        <v>189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10.0395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7">
        <f t="shared" si="4"/>
        <v>10.0395</v>
      </c>
    </row>
    <row r="163" spans="1:18">
      <c r="A163" s="3" t="s">
        <v>24</v>
      </c>
      <c r="B163" s="3" t="s">
        <v>180</v>
      </c>
      <c r="C163" s="3" t="s">
        <v>190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858590.544</v>
      </c>
      <c r="J163" s="6">
        <v>202614.8212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7">
        <f t="shared" si="4"/>
        <v>1061205.3652</v>
      </c>
    </row>
    <row r="164" spans="1:18">
      <c r="A164" s="3" t="s">
        <v>24</v>
      </c>
      <c r="B164" s="3" t="s">
        <v>180</v>
      </c>
      <c r="C164" s="3" t="s">
        <v>191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4196.103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7">
        <f t="shared" si="4"/>
        <v>4196.103</v>
      </c>
    </row>
    <row r="165" spans="1:18">
      <c r="A165" s="3" t="s">
        <v>24</v>
      </c>
      <c r="B165" s="3" t="s">
        <v>180</v>
      </c>
      <c r="C165" s="3" t="s">
        <v>192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115391.496</v>
      </c>
      <c r="J165" s="6">
        <v>75998.16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7">
        <f t="shared" si="4"/>
        <v>191389.656</v>
      </c>
    </row>
    <row r="166" spans="1:18">
      <c r="A166" s="3" t="s">
        <v>24</v>
      </c>
      <c r="B166" s="3" t="s">
        <v>180</v>
      </c>
      <c r="C166" s="3" t="s">
        <v>193</v>
      </c>
      <c r="D166" s="6">
        <v>0</v>
      </c>
      <c r="E166" s="6">
        <v>26.505</v>
      </c>
      <c r="F166" s="6">
        <v>0</v>
      </c>
      <c r="G166" s="6">
        <v>0</v>
      </c>
      <c r="H166" s="6">
        <v>0</v>
      </c>
      <c r="I166" s="6">
        <v>198321.804</v>
      </c>
      <c r="J166" s="6">
        <v>115062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7">
        <f t="shared" si="4"/>
        <v>313410.309</v>
      </c>
    </row>
    <row r="167" spans="1:18">
      <c r="A167" s="3" t="s">
        <v>24</v>
      </c>
      <c r="B167" s="3" t="s">
        <v>180</v>
      </c>
      <c r="C167" s="3" t="s">
        <v>194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154405.056</v>
      </c>
      <c r="J167" s="6">
        <v>77781.44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7">
        <f t="shared" si="4"/>
        <v>232186.496</v>
      </c>
    </row>
    <row r="168" spans="1:18">
      <c r="A168" s="3" t="s">
        <v>24</v>
      </c>
      <c r="B168" s="3" t="s">
        <v>180</v>
      </c>
      <c r="C168" s="3" t="s">
        <v>195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1610.3715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7">
        <f t="shared" si="4"/>
        <v>1610.3715</v>
      </c>
    </row>
    <row r="169" spans="1:18">
      <c r="A169" s="3" t="s">
        <v>24</v>
      </c>
      <c r="B169" s="3" t="s">
        <v>180</v>
      </c>
      <c r="C169" s="3" t="s">
        <v>196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89990.952</v>
      </c>
      <c r="J169" s="6">
        <v>218903.713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7">
        <f t="shared" si="4"/>
        <v>308894.665</v>
      </c>
    </row>
    <row r="170" spans="1:18">
      <c r="A170" s="3" t="s">
        <v>24</v>
      </c>
      <c r="B170" s="3" t="s">
        <v>180</v>
      </c>
      <c r="C170" s="3" t="s">
        <v>197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265984.755</v>
      </c>
      <c r="J170" s="6">
        <v>85273.02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7">
        <f t="shared" si="4"/>
        <v>351257.775</v>
      </c>
    </row>
    <row r="171" spans="1:18">
      <c r="A171" s="3" t="s">
        <v>24</v>
      </c>
      <c r="B171" s="3" t="s">
        <v>180</v>
      </c>
      <c r="C171" s="3" t="s">
        <v>198</v>
      </c>
      <c r="D171" s="6">
        <v>0</v>
      </c>
      <c r="E171" s="6">
        <v>13.824</v>
      </c>
      <c r="F171" s="6">
        <v>0</v>
      </c>
      <c r="G171" s="6">
        <v>0</v>
      </c>
      <c r="H171" s="6">
        <v>0</v>
      </c>
      <c r="I171" s="6">
        <v>396923.8545</v>
      </c>
      <c r="J171" s="6">
        <v>130182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7">
        <f t="shared" si="4"/>
        <v>527119.6785</v>
      </c>
    </row>
    <row r="172" spans="1:18">
      <c r="A172" s="3" t="s">
        <v>24</v>
      </c>
      <c r="B172" s="3" t="s">
        <v>180</v>
      </c>
      <c r="C172" s="3" t="s">
        <v>199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5362.035</v>
      </c>
      <c r="J172" s="6">
        <v>152328.51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7">
        <f t="shared" si="4"/>
        <v>157690.545</v>
      </c>
    </row>
    <row r="173" spans="1:18">
      <c r="A173" s="3" t="s">
        <v>24</v>
      </c>
      <c r="B173" s="3" t="s">
        <v>200</v>
      </c>
      <c r="C173" s="3" t="s">
        <v>201</v>
      </c>
      <c r="D173" s="6">
        <v>0.0882</v>
      </c>
      <c r="E173" s="6">
        <v>28086.9803</v>
      </c>
      <c r="F173" s="6">
        <v>0</v>
      </c>
      <c r="G173" s="6">
        <v>0</v>
      </c>
      <c r="H173" s="6">
        <v>0</v>
      </c>
      <c r="I173" s="6">
        <v>4.9185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7">
        <f>SUM(D173:Q173)</f>
        <v>28091.987</v>
      </c>
    </row>
    <row r="174" spans="1:18">
      <c r="A174" s="3" t="s">
        <v>24</v>
      </c>
      <c r="B174" s="3" t="s">
        <v>200</v>
      </c>
      <c r="C174" s="3" t="s">
        <v>202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7">
        <f>SUM(D174:Q174)</f>
        <v>0</v>
      </c>
    </row>
    <row r="175" spans="1:18">
      <c r="A175" s="3" t="s">
        <v>24</v>
      </c>
      <c r="B175" s="3" t="s">
        <v>200</v>
      </c>
      <c r="C175" s="3" t="s">
        <v>203</v>
      </c>
      <c r="D175" s="6">
        <v>7.638</v>
      </c>
      <c r="E175" s="6">
        <v>11759.1635</v>
      </c>
      <c r="F175" s="6">
        <v>0</v>
      </c>
      <c r="G175" s="6">
        <v>2785.6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7">
        <f>SUM(D175:Q175)</f>
        <v>14552.4015</v>
      </c>
    </row>
    <row r="176" spans="1:18">
      <c r="A176" s="3" t="s">
        <v>24</v>
      </c>
      <c r="B176" s="3" t="s">
        <v>200</v>
      </c>
      <c r="C176" s="3" t="s">
        <v>204</v>
      </c>
      <c r="D176" s="6">
        <v>19.2794</v>
      </c>
      <c r="E176" s="6">
        <v>15427.2654</v>
      </c>
      <c r="F176" s="6">
        <v>0</v>
      </c>
      <c r="G176" s="6">
        <v>8334</v>
      </c>
      <c r="H176" s="6">
        <v>0</v>
      </c>
      <c r="I176" s="6">
        <v>50.265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7">
        <f t="shared" ref="R176:R197" si="5">SUM(D176:Q176)</f>
        <v>23830.8098</v>
      </c>
    </row>
    <row r="177" spans="1:18">
      <c r="A177" s="3" t="s">
        <v>24</v>
      </c>
      <c r="B177" s="3" t="s">
        <v>200</v>
      </c>
      <c r="C177" s="3" t="s">
        <v>205</v>
      </c>
      <c r="D177" s="6">
        <v>23.437</v>
      </c>
      <c r="E177" s="6">
        <v>29487.9107</v>
      </c>
      <c r="F177" s="6">
        <v>0</v>
      </c>
      <c r="G177" s="6">
        <v>9790.4</v>
      </c>
      <c r="H177" s="6">
        <v>0</v>
      </c>
      <c r="I177" s="6">
        <v>0.2535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7">
        <f t="shared" si="5"/>
        <v>39302.0012</v>
      </c>
    </row>
    <row r="178" spans="1:18">
      <c r="A178" s="3" t="s">
        <v>24</v>
      </c>
      <c r="B178" s="3" t="s">
        <v>200</v>
      </c>
      <c r="C178" s="3" t="s">
        <v>206</v>
      </c>
      <c r="D178" s="6">
        <v>0</v>
      </c>
      <c r="E178" s="6">
        <v>13694.0707</v>
      </c>
      <c r="F178" s="6">
        <v>0</v>
      </c>
      <c r="G178" s="6">
        <v>0</v>
      </c>
      <c r="H178" s="6">
        <v>0</v>
      </c>
      <c r="I178" s="6">
        <v>109.6185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7">
        <f t="shared" si="5"/>
        <v>13803.6892</v>
      </c>
    </row>
    <row r="179" spans="1:18">
      <c r="A179" s="3" t="s">
        <v>24</v>
      </c>
      <c r="B179" s="3" t="s">
        <v>200</v>
      </c>
      <c r="C179" s="3" t="s">
        <v>207</v>
      </c>
      <c r="D179" s="6">
        <v>17.5464</v>
      </c>
      <c r="E179" s="6">
        <v>301.4297</v>
      </c>
      <c r="F179" s="6">
        <v>0</v>
      </c>
      <c r="G179" s="6">
        <v>7144.4</v>
      </c>
      <c r="H179" s="6">
        <v>0</v>
      </c>
      <c r="I179" s="6">
        <v>15.114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7">
        <f t="shared" si="5"/>
        <v>7478.4901</v>
      </c>
    </row>
    <row r="180" spans="1:18">
      <c r="A180" s="3" t="s">
        <v>24</v>
      </c>
      <c r="B180" s="3" t="s">
        <v>200</v>
      </c>
      <c r="C180" s="3" t="s">
        <v>208</v>
      </c>
      <c r="D180" s="6">
        <v>16.8263</v>
      </c>
      <c r="E180" s="6">
        <v>26866.6407</v>
      </c>
      <c r="F180" s="6">
        <v>0</v>
      </c>
      <c r="G180" s="6">
        <v>6201.6</v>
      </c>
      <c r="H180" s="6">
        <v>0</v>
      </c>
      <c r="I180" s="6">
        <v>9.102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7">
        <f t="shared" si="5"/>
        <v>33094.169</v>
      </c>
    </row>
    <row r="181" spans="1:18">
      <c r="A181" s="3" t="s">
        <v>24</v>
      </c>
      <c r="B181" s="3" t="s">
        <v>200</v>
      </c>
      <c r="C181" s="3" t="s">
        <v>209</v>
      </c>
      <c r="D181" s="6">
        <v>0</v>
      </c>
      <c r="E181" s="6">
        <v>11220.3429</v>
      </c>
      <c r="F181" s="6">
        <v>0</v>
      </c>
      <c r="G181" s="6">
        <v>0</v>
      </c>
      <c r="H181" s="6">
        <v>0</v>
      </c>
      <c r="I181" s="6">
        <v>2.925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7">
        <f t="shared" si="5"/>
        <v>11223.2679</v>
      </c>
    </row>
    <row r="182" spans="1:18">
      <c r="A182" s="3" t="s">
        <v>24</v>
      </c>
      <c r="B182" s="3" t="s">
        <v>200</v>
      </c>
      <c r="C182" s="3" t="s">
        <v>210</v>
      </c>
      <c r="D182" s="6">
        <v>0</v>
      </c>
      <c r="E182" s="6">
        <v>46727.838</v>
      </c>
      <c r="F182" s="6">
        <v>0</v>
      </c>
      <c r="G182" s="6">
        <v>0</v>
      </c>
      <c r="H182" s="6">
        <v>0</v>
      </c>
      <c r="I182" s="6">
        <v>406.4955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7">
        <f t="shared" si="5"/>
        <v>47134.3335</v>
      </c>
    </row>
    <row r="183" spans="1:18">
      <c r="A183" s="3" t="s">
        <v>24</v>
      </c>
      <c r="B183" s="3" t="s">
        <v>200</v>
      </c>
      <c r="C183" s="3" t="s">
        <v>211</v>
      </c>
      <c r="D183" s="6">
        <v>10.6961</v>
      </c>
      <c r="E183" s="6">
        <v>4383.2112</v>
      </c>
      <c r="F183" s="6">
        <v>0</v>
      </c>
      <c r="G183" s="6">
        <v>5922</v>
      </c>
      <c r="H183" s="6">
        <v>0</v>
      </c>
      <c r="I183" s="6">
        <v>1.2315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7">
        <f t="shared" si="5"/>
        <v>10317.1388</v>
      </c>
    </row>
    <row r="184" spans="1:18">
      <c r="A184" s="3" t="s">
        <v>24</v>
      </c>
      <c r="B184" s="3" t="s">
        <v>200</v>
      </c>
      <c r="C184" s="3" t="s">
        <v>212</v>
      </c>
      <c r="D184" s="6">
        <v>9.3928</v>
      </c>
      <c r="E184" s="6">
        <v>14539.7012</v>
      </c>
      <c r="F184" s="6">
        <v>0</v>
      </c>
      <c r="G184" s="6">
        <v>5917.6</v>
      </c>
      <c r="H184" s="6">
        <v>0</v>
      </c>
      <c r="I184" s="6">
        <v>15.7635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7">
        <f t="shared" si="5"/>
        <v>20482.4575</v>
      </c>
    </row>
    <row r="185" spans="1:18">
      <c r="A185" s="3" t="s">
        <v>24</v>
      </c>
      <c r="B185" s="3" t="s">
        <v>200</v>
      </c>
      <c r="C185" s="3" t="s">
        <v>213</v>
      </c>
      <c r="D185" s="6">
        <v>16.3832</v>
      </c>
      <c r="E185" s="6">
        <v>15142.98</v>
      </c>
      <c r="F185" s="6">
        <v>0</v>
      </c>
      <c r="G185" s="6">
        <v>8789.2</v>
      </c>
      <c r="H185" s="6">
        <v>0</v>
      </c>
      <c r="I185" s="6">
        <v>25.866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7">
        <f t="shared" si="5"/>
        <v>23974.4292</v>
      </c>
    </row>
    <row r="186" spans="1:18">
      <c r="A186" s="3" t="s">
        <v>24</v>
      </c>
      <c r="B186" s="3" t="s">
        <v>200</v>
      </c>
      <c r="C186" s="3" t="s">
        <v>214</v>
      </c>
      <c r="D186" s="6">
        <v>27.6356</v>
      </c>
      <c r="E186" s="6">
        <v>27653.1524</v>
      </c>
      <c r="F186" s="6">
        <v>0</v>
      </c>
      <c r="G186" s="6">
        <v>11231.6</v>
      </c>
      <c r="H186" s="6">
        <v>0</v>
      </c>
      <c r="I186" s="6">
        <v>266.73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7">
        <f t="shared" si="5"/>
        <v>39179.118</v>
      </c>
    </row>
    <row r="187" spans="1:18">
      <c r="A187" s="3" t="s">
        <v>24</v>
      </c>
      <c r="B187" s="3" t="s">
        <v>200</v>
      </c>
      <c r="C187" s="3" t="s">
        <v>215</v>
      </c>
      <c r="D187" s="6">
        <v>5.9857</v>
      </c>
      <c r="E187" s="6">
        <v>32239.3855</v>
      </c>
      <c r="F187" s="6">
        <v>0</v>
      </c>
      <c r="G187" s="6">
        <v>0</v>
      </c>
      <c r="H187" s="6">
        <v>0</v>
      </c>
      <c r="I187" s="6">
        <v>0.9045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7">
        <f t="shared" si="5"/>
        <v>32246.2757</v>
      </c>
    </row>
    <row r="188" spans="1:18">
      <c r="A188" s="3" t="s">
        <v>24</v>
      </c>
      <c r="B188" s="3" t="s">
        <v>200</v>
      </c>
      <c r="C188" s="3" t="s">
        <v>216</v>
      </c>
      <c r="D188" s="6">
        <v>15.1332</v>
      </c>
      <c r="E188" s="6">
        <v>30339.7673</v>
      </c>
      <c r="F188" s="6">
        <v>0</v>
      </c>
      <c r="G188" s="6">
        <v>8165.6</v>
      </c>
      <c r="H188" s="6">
        <v>0</v>
      </c>
      <c r="I188" s="6">
        <v>1.272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7">
        <f t="shared" si="5"/>
        <v>38521.7725</v>
      </c>
    </row>
    <row r="189" spans="1:18">
      <c r="A189" s="3" t="s">
        <v>24</v>
      </c>
      <c r="B189" s="3" t="s">
        <v>200</v>
      </c>
      <c r="C189" s="3" t="s">
        <v>217</v>
      </c>
      <c r="D189" s="6">
        <v>8.3892</v>
      </c>
      <c r="E189" s="6">
        <v>16096.1673</v>
      </c>
      <c r="F189" s="6">
        <v>0</v>
      </c>
      <c r="G189" s="6">
        <v>5352</v>
      </c>
      <c r="H189" s="6">
        <v>0</v>
      </c>
      <c r="I189" s="6">
        <v>130.2075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7">
        <f t="shared" si="5"/>
        <v>21586.764</v>
      </c>
    </row>
    <row r="190" spans="1:18">
      <c r="A190" s="3" t="s">
        <v>24</v>
      </c>
      <c r="B190" s="3" t="s">
        <v>200</v>
      </c>
      <c r="C190" s="3" t="s">
        <v>218</v>
      </c>
      <c r="D190" s="6">
        <v>16.2299</v>
      </c>
      <c r="E190" s="6">
        <v>56274.0932</v>
      </c>
      <c r="F190" s="6">
        <v>0</v>
      </c>
      <c r="G190" s="6">
        <v>6281.6</v>
      </c>
      <c r="H190" s="6">
        <v>0</v>
      </c>
      <c r="I190" s="6">
        <v>82.7205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7">
        <f t="shared" si="5"/>
        <v>62654.6436</v>
      </c>
    </row>
    <row r="191" spans="1:18">
      <c r="A191" s="3" t="s">
        <v>24</v>
      </c>
      <c r="B191" s="3" t="s">
        <v>200</v>
      </c>
      <c r="C191" s="3" t="s">
        <v>219</v>
      </c>
      <c r="D191" s="6">
        <v>9.8135</v>
      </c>
      <c r="E191" s="6">
        <v>15042.6743</v>
      </c>
      <c r="F191" s="6">
        <v>0</v>
      </c>
      <c r="G191" s="6">
        <v>4844.4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7">
        <f t="shared" si="5"/>
        <v>19896.8878</v>
      </c>
    </row>
    <row r="192" spans="1:18">
      <c r="A192" s="3" t="s">
        <v>24</v>
      </c>
      <c r="B192" s="3" t="s">
        <v>200</v>
      </c>
      <c r="C192" s="3" t="s">
        <v>220</v>
      </c>
      <c r="D192" s="6">
        <v>0</v>
      </c>
      <c r="E192" s="6">
        <v>12931.4614</v>
      </c>
      <c r="F192" s="6">
        <v>0</v>
      </c>
      <c r="G192" s="6">
        <v>0</v>
      </c>
      <c r="H192" s="6">
        <v>0</v>
      </c>
      <c r="I192" s="6">
        <v>52.8225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7">
        <f t="shared" si="5"/>
        <v>12984.2839</v>
      </c>
    </row>
    <row r="193" spans="1:18">
      <c r="A193" s="3" t="s">
        <v>24</v>
      </c>
      <c r="B193" s="3" t="s">
        <v>200</v>
      </c>
      <c r="C193" s="3" t="s">
        <v>221</v>
      </c>
      <c r="D193" s="6">
        <v>25.8137</v>
      </c>
      <c r="E193" s="6">
        <v>44621.0747</v>
      </c>
      <c r="F193" s="6">
        <v>0</v>
      </c>
      <c r="G193" s="6">
        <v>10057.2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7">
        <f t="shared" si="5"/>
        <v>54704.0884</v>
      </c>
    </row>
    <row r="194" spans="1:18">
      <c r="A194" s="3" t="s">
        <v>24</v>
      </c>
      <c r="B194" s="3" t="s">
        <v>200</v>
      </c>
      <c r="C194" s="3" t="s">
        <v>222</v>
      </c>
      <c r="D194" s="6">
        <v>1.0667</v>
      </c>
      <c r="E194" s="6">
        <v>15502.0441</v>
      </c>
      <c r="F194" s="6">
        <v>0</v>
      </c>
      <c r="G194" s="6">
        <v>0</v>
      </c>
      <c r="H194" s="6">
        <v>0</v>
      </c>
      <c r="I194" s="6">
        <v>1423.1895</v>
      </c>
      <c r="J194" s="6">
        <v>1732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7">
        <f t="shared" si="5"/>
        <v>18658.3003</v>
      </c>
    </row>
    <row r="195" spans="1:18">
      <c r="A195" s="3" t="s">
        <v>24</v>
      </c>
      <c r="B195" s="3" t="s">
        <v>200</v>
      </c>
      <c r="C195" s="3" t="s">
        <v>223</v>
      </c>
      <c r="D195" s="6">
        <v>5.4436</v>
      </c>
      <c r="E195" s="6">
        <v>14533.8362</v>
      </c>
      <c r="F195" s="6">
        <v>0</v>
      </c>
      <c r="G195" s="6">
        <v>2051.2</v>
      </c>
      <c r="H195" s="6">
        <v>0</v>
      </c>
      <c r="I195" s="6">
        <v>2.778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7">
        <f t="shared" si="5"/>
        <v>16593.2578</v>
      </c>
    </row>
    <row r="196" spans="1:18">
      <c r="A196" s="3" t="s">
        <v>24</v>
      </c>
      <c r="B196" s="3" t="s">
        <v>200</v>
      </c>
      <c r="C196" s="3" t="s">
        <v>224</v>
      </c>
      <c r="D196" s="6">
        <v>44.5168</v>
      </c>
      <c r="E196" s="6">
        <v>56278.3627</v>
      </c>
      <c r="F196" s="6">
        <v>0</v>
      </c>
      <c r="G196" s="6">
        <v>16789.6</v>
      </c>
      <c r="H196" s="6">
        <v>0</v>
      </c>
      <c r="I196" s="6">
        <v>250.2765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7">
        <f t="shared" si="5"/>
        <v>73362.756</v>
      </c>
    </row>
    <row r="197" spans="1:18">
      <c r="A197" s="3" t="s">
        <v>24</v>
      </c>
      <c r="B197" s="3" t="s">
        <v>200</v>
      </c>
      <c r="C197" s="3" t="s">
        <v>225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7">
        <f t="shared" si="5"/>
        <v>0</v>
      </c>
    </row>
    <row r="198" spans="1:18">
      <c r="A198" s="3" t="s">
        <v>24</v>
      </c>
      <c r="B198" s="3" t="s">
        <v>200</v>
      </c>
      <c r="C198" s="3" t="s">
        <v>226</v>
      </c>
      <c r="D198" s="6">
        <v>9.3833</v>
      </c>
      <c r="E198" s="6">
        <v>22101.9531</v>
      </c>
      <c r="F198" s="6">
        <v>0</v>
      </c>
      <c r="G198" s="6">
        <v>5824</v>
      </c>
      <c r="H198" s="6">
        <v>0</v>
      </c>
      <c r="I198" s="6">
        <v>2.8425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7">
        <f>SUM(D198:Q198)</f>
        <v>27938.1789</v>
      </c>
    </row>
    <row r="199" spans="1:18">
      <c r="A199" s="3" t="s">
        <v>24</v>
      </c>
      <c r="B199" s="3" t="s">
        <v>200</v>
      </c>
      <c r="C199" s="3" t="s">
        <v>227</v>
      </c>
      <c r="D199" s="6">
        <v>28.788</v>
      </c>
      <c r="E199" s="6">
        <v>27550.1766</v>
      </c>
      <c r="F199" s="6">
        <v>0</v>
      </c>
      <c r="G199" s="6">
        <v>16963.6</v>
      </c>
      <c r="H199" s="6">
        <v>0</v>
      </c>
      <c r="I199" s="6">
        <v>11858.229</v>
      </c>
      <c r="J199" s="6">
        <v>7373.0688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7">
        <f>SUM(D199:Q199)</f>
        <v>63773.8624</v>
      </c>
    </row>
    <row r="200" spans="1:18">
      <c r="A200" s="3" t="s">
        <v>24</v>
      </c>
      <c r="B200" s="3" t="s">
        <v>228</v>
      </c>
      <c r="C200" s="3" t="s">
        <v>229</v>
      </c>
      <c r="D200" s="6">
        <v>0</v>
      </c>
      <c r="E200" s="6">
        <v>316770.8408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7">
        <f>SUM(D200:Q200)</f>
        <v>316770.8408</v>
      </c>
    </row>
    <row r="201" spans="1:18">
      <c r="A201" s="3" t="s">
        <v>24</v>
      </c>
      <c r="B201" s="3" t="s">
        <v>228</v>
      </c>
      <c r="C201" s="3" t="s">
        <v>230</v>
      </c>
      <c r="D201" s="6">
        <v>0</v>
      </c>
      <c r="E201" s="6">
        <v>1960031.2376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7">
        <f>SUM(D201:Q201)</f>
        <v>1960031.2376</v>
      </c>
    </row>
  </sheetData>
  <mergeCells count="1">
    <mergeCell ref="A1:R1"/>
  </mergeCells>
  <pageMargins left="0.699305555555556" right="0.699305555555556" top="0.75" bottom="0.75" header="0.3" footer="0.3"/>
  <pageSetup paperSize="9" scale="28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2022-09-28T06:10:00Z</dcterms:created>
  <dcterms:modified xsi:type="dcterms:W3CDTF">2026-07-31T06:44:55Z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40C9EC1A75F8493C97DC07245E40F467</vt:lpwstr>
  </property>
  <property fmtid="{D5CDD505-2E9C-101B-9397-08002B2CF9AE}" pid="3" name="KSOProductBuildVer">
    <vt:lpwstr>2052-10.8.2.6613</vt:lpwstr>
  </property>
</Properties>
</file>