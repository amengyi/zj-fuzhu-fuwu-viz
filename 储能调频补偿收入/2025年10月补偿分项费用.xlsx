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<sst xmlns="http://schemas.openxmlformats.org/spreadsheetml/2006/main" count="217">
  <si>
    <t>2025年10月补偿分项费用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</si>
  <si>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</si>
  <si>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</si>
  <si>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</si>
  <si>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</si>
  <si>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</si>
  <si>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</si>
  <si>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</si>
  <si>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</si>
  <si>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</si>
  <si>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</si>
  <si>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</si>
  <si>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</si>
  <si>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</si>
  <si>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</si>
  <si>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</si>
  <si>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</si>
  <si>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</si>
  <si>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</si>
  <si>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</si>
  <si>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</si>
  <si>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</si>
  <si>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</si>
  <si>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</si>
  <si>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</si>
  <si>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</si>
  <si>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</si>
  <si>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</si>
  <si>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</si>
  <si>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</si>
  <si>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</si>
  <si>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</si>
  <si>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</si>
  <si>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</si>
  <si>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</si>
  <si>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</si>
  <si>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</si>
  <si>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</si>
  <si>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</si>
  <si>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</si>
  <si>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</si>
  <si>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</si>
  <si>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</si>
  <si>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</si>
  <si>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</si>
  <si>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</si>
  <si>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</si>
  <si>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</si>
  <si>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</si>
  <si>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</si>
  <si>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</si>
  <si>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</si>
  <si>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</si>
  <si>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</si>
  <si>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</si>
  <si>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</si>
  <si>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</si>
  <si>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</si>
  <si>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</si>
  <si>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</si>
  <si>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</si>
  <si>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</si>
  <si>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</si>
  <si>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</si>
  <si>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抽水蓄能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</si>
  <si>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</si>
  <si>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</si>
  <si>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</si>
  <si>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</si>
  <si>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</si>
  <si>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</si>
  <si>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</si>
  <si>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</si>
  <si>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</si>
  <si>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</si>
  <si>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</si>
  <si>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</si>
  <si>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</si>
  <si>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</si>
  <si>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</si>
  <si>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</si>
  <si>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</si>
  <si>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</si>
  <si>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唐绍厂</t>
  </si>
  <si>
    <t>桐燃厂</t>
  </si>
  <si>
    <t>下沙厂</t>
  </si>
  <si>
    <t>萧燃厂</t>
  </si>
  <si>
    <t>新城厂</t>
  </si>
  <si>
    <t>新泓口</t>
  </si>
  <si>
    <t>浔宝厂</t>
  </si>
  <si>
    <t>220kV镇海发电厂</t>
  </si>
  <si>
    <t>光伏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</si>
  <si>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</si>
  <si>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</si>
  <si>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</si>
  <si>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</si>
  <si>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</si>
  <si>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</si>
  <si>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</si>
  <si>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</si>
  <si>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</si>
  <si>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</si>
  <si>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</si>
  <si>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</si>
  <si>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</si>
  <si>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亨泰站</t>
  </si>
  <si>
    <t>宏塔站</t>
  </si>
  <si>
    <t>华博站</t>
  </si>
  <si>
    <t>华塘站</t>
  </si>
  <si>
    <t>华洋光伏站</t>
  </si>
  <si>
    <t>汇核站</t>
  </si>
  <si>
    <t>汇能站</t>
  </si>
  <si>
    <t>嘉厂站</t>
  </si>
  <si>
    <t>佳源站</t>
  </si>
  <si>
    <t>江泰站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</si>
  <si>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</si>
  <si>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</si>
  <si>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</si>
  <si>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</si>
  <si>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</si>
  <si>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</si>
  <si>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</si>
  <si>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</si>
  <si>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</si>
  <si>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</si>
  <si>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</si>
  <si>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</si>
  <si>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</si>
  <si>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</si>
  <si>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</si>
  <si>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</si>
  <si>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</si>
  <si>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</si>
  <si>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</si>
  <si>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</si>
  <si>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</si>
  <si>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</si>
  <si>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</si>
  <si>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</si>
  <si>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</si>
  <si>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</si>
  <si>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</si>
  <si>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</si>
  <si>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</si>
  <si>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</si>
  <si>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</si>
  <si>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</si>
  <si>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</si>
  <si>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</si>
  <si>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</si>
  <si>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</si>
  <si>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</si>
  <si>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</si>
  <si>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</si>
  <si>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</si>
  <si>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</si>
  <si>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</si>
  <si>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</si>
  <si>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</si>
  <si>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</si>
  <si>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</si>
  <si>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</si>
  <si>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</si>
  <si>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</si>
  <si>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</si>
  <si>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</si>
  <si>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瓯泰站</t>
  </si>
  <si>
    <t>蛟禾站</t>
  </si>
  <si>
    <t>风电</t>
  </si>
  <si>
    <t>百花场</t>
  </si>
  <si>
    <t>苍海场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</si>
  <si>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</si>
  <si>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</si>
  <si>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</si>
  <si>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</si>
  <si>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</si>
  <si>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</si>
  <si>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</si>
  <si>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</si>
  <si>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</si>
  <si>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</si>
  <si>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</si>
  <si>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</si>
  <si>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</si>
  <si>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</si>
  <si>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</si>
  <si>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</si>
  <si>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电化学储能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</si>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</sst>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2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3" borderId="9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" fillId="2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7"/>
  <sheetViews>
    <sheetView tabSelected="1" workbookViewId="0">
      <selection activeCell="D2" sqref="C$1:D$1048576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3.7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4" t="s">
        <v>4</v>
      </c>
      <c r="H2" s="5" t="s">
        <v>5</v>
      </c>
      <c r="I2" s="4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345639.8067</v>
      </c>
      <c r="E4" s="6">
        <v>2846870.96774006</v>
      </c>
      <c r="F4" s="6">
        <v>0</v>
      </c>
      <c r="G4" s="6">
        <v>0</v>
      </c>
      <c r="H4" s="6">
        <v>15198604.727</v>
      </c>
      <c r="I4" s="6">
        <v>4111302.77</v>
      </c>
      <c r="J4" s="6">
        <v>18141266.6383667</v>
      </c>
      <c r="K4" s="6">
        <v>38580050.3917542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 s="7">
        <f>SUM(R5:R187)</f>
        <v>79503735.301561</v>
      </c>
    </row>
    <row r="5" spans="1:18">
      <c r="A5" s="3" t="s">
        <v>24</v>
      </c>
      <c r="B5" s="3" t="s">
        <v>25</v>
      </c>
      <c r="C5" s="3" t="s">
        <v>26</v>
      </c>
      <c r="D5" s="6">
        <v>13333.1522</v>
      </c>
      <c r="E5" s="6">
        <v>0</v>
      </c>
      <c r="F5" s="6">
        <v>0</v>
      </c>
      <c r="G5" s="6">
        <v>0</v>
      </c>
      <c r="H5" s="6">
        <v>0</v>
      </c>
      <c r="I5" s="6">
        <v>5959.8</v>
      </c>
      <c r="J5" s="6">
        <v>590967.3125</v>
      </c>
      <c r="K5" s="6">
        <v>1220844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1831104.2647</v>
      </c>
    </row>
    <row r="6" spans="1:18">
      <c r="A6" s="3" t="s">
        <v>24</v>
      </c>
      <c r="B6" s="3" t="s">
        <v>25</v>
      </c>
      <c r="C6" s="3" t="s">
        <v>27</v>
      </c>
      <c r="D6" s="6">
        <v>8622.8614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422799.3125</v>
      </c>
      <c r="K6" s="6">
        <v>985821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37" si="0">SUM(D6:Q6)</f>
        <v>1417243.1739</v>
      </c>
    </row>
    <row r="7" spans="1:18">
      <c r="A7" s="3" t="s">
        <v>24</v>
      </c>
      <c r="B7" s="3" t="s">
        <v>25</v>
      </c>
      <c r="C7" s="3" t="s">
        <v>28</v>
      </c>
      <c r="D7" s="6">
        <v>16014.2372</v>
      </c>
      <c r="E7" s="6">
        <v>0</v>
      </c>
      <c r="F7" s="6">
        <v>0</v>
      </c>
      <c r="G7" s="6">
        <v>0</v>
      </c>
      <c r="H7" s="6">
        <v>0</v>
      </c>
      <c r="I7" s="6">
        <v>4033.35</v>
      </c>
      <c r="J7" s="6">
        <v>703862.25</v>
      </c>
      <c r="K7" s="6">
        <v>1122026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1845935.8372</v>
      </c>
    </row>
    <row r="8" spans="1:18">
      <c r="A8" s="3" t="s">
        <v>24</v>
      </c>
      <c r="B8" s="3" t="s">
        <v>25</v>
      </c>
      <c r="C8" s="3" t="s">
        <v>29</v>
      </c>
      <c r="D8" s="6">
        <v>4562.3686</v>
      </c>
      <c r="E8" s="6">
        <v>0</v>
      </c>
      <c r="F8" s="6">
        <v>0</v>
      </c>
      <c r="G8" s="6">
        <v>0</v>
      </c>
      <c r="H8" s="6">
        <v>0</v>
      </c>
      <c r="I8" s="6">
        <v>4989.3</v>
      </c>
      <c r="J8" s="6">
        <v>288600</v>
      </c>
      <c r="K8" s="6">
        <v>412098.5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710250.1686</v>
      </c>
    </row>
    <row r="9" spans="1:18">
      <c r="A9" s="3" t="s">
        <v>24</v>
      </c>
      <c r="B9" s="3" t="s">
        <v>25</v>
      </c>
      <c r="C9" s="3" t="s">
        <v>30</v>
      </c>
      <c r="D9" s="6">
        <v>2008.6482</v>
      </c>
      <c r="E9" s="6">
        <v>0</v>
      </c>
      <c r="F9" s="6">
        <v>0</v>
      </c>
      <c r="G9" s="6">
        <v>0</v>
      </c>
      <c r="H9" s="6">
        <v>0</v>
      </c>
      <c r="I9" s="6">
        <v>882.9</v>
      </c>
      <c r="J9" s="6">
        <v>0</v>
      </c>
      <c r="K9" s="6">
        <v>381511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384402.5482</v>
      </c>
    </row>
    <row r="10" spans="1:18">
      <c r="A10" s="3" t="s">
        <v>24</v>
      </c>
      <c r="B10" s="3" t="s">
        <v>25</v>
      </c>
      <c r="C10" s="3" t="s">
        <v>31</v>
      </c>
      <c r="D10" s="6">
        <v>12699.9076</v>
      </c>
      <c r="E10" s="6">
        <v>0</v>
      </c>
      <c r="F10" s="6">
        <v>0</v>
      </c>
      <c r="G10" s="6">
        <v>0</v>
      </c>
      <c r="H10" s="6">
        <v>686604.6</v>
      </c>
      <c r="I10" s="6">
        <v>2402.7</v>
      </c>
      <c r="J10" s="6">
        <v>669196.75</v>
      </c>
      <c r="K10" s="6">
        <v>1537304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2908207.9576</v>
      </c>
    </row>
    <row r="11" spans="1:18">
      <c r="A11" s="3" t="s">
        <v>24</v>
      </c>
      <c r="B11" s="3" t="s">
        <v>25</v>
      </c>
      <c r="C11" s="3" t="s">
        <v>32</v>
      </c>
      <c r="D11" s="6">
        <v>5223.8423</v>
      </c>
      <c r="E11" s="6">
        <v>0</v>
      </c>
      <c r="F11" s="6">
        <v>0</v>
      </c>
      <c r="G11" s="6">
        <v>0</v>
      </c>
      <c r="H11" s="6">
        <v>383147.4</v>
      </c>
      <c r="I11" s="6">
        <v>113202.15</v>
      </c>
      <c r="J11" s="6">
        <v>214571.625</v>
      </c>
      <c r="K11" s="6">
        <v>1377331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2093476.0173</v>
      </c>
    </row>
    <row r="12" spans="1:18">
      <c r="A12" s="3" t="s">
        <v>24</v>
      </c>
      <c r="B12" s="3" t="s">
        <v>25</v>
      </c>
      <c r="C12" s="3" t="s">
        <v>33</v>
      </c>
      <c r="D12" s="6">
        <v>8143.145</v>
      </c>
      <c r="E12" s="6">
        <v>0</v>
      </c>
      <c r="F12" s="6">
        <v>0</v>
      </c>
      <c r="G12" s="6">
        <v>0</v>
      </c>
      <c r="H12" s="6">
        <v>1682.64</v>
      </c>
      <c r="I12" s="6">
        <v>3315.3</v>
      </c>
      <c r="J12" s="6">
        <v>388084.9375</v>
      </c>
      <c r="K12" s="6">
        <v>1058100.5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1459326.5225</v>
      </c>
    </row>
    <row r="13" spans="1:18">
      <c r="A13" s="3" t="s">
        <v>24</v>
      </c>
      <c r="B13" s="3" t="s">
        <v>25</v>
      </c>
      <c r="C13" s="3" t="s">
        <v>34</v>
      </c>
      <c r="D13" s="6">
        <v>8033.0405</v>
      </c>
      <c r="E13" s="6">
        <v>0</v>
      </c>
      <c r="F13" s="6">
        <v>0</v>
      </c>
      <c r="G13" s="6">
        <v>0</v>
      </c>
      <c r="H13" s="6">
        <v>563.03</v>
      </c>
      <c r="I13" s="6">
        <v>2444.85</v>
      </c>
      <c r="J13" s="6">
        <v>0</v>
      </c>
      <c r="K13" s="6">
        <v>781762.5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792803.4205</v>
      </c>
    </row>
    <row r="14" spans="1:18">
      <c r="A14" s="3" t="s">
        <v>24</v>
      </c>
      <c r="B14" s="3" t="s">
        <v>25</v>
      </c>
      <c r="C14" s="3" t="s">
        <v>35</v>
      </c>
      <c r="D14" s="6">
        <v>9403.4483</v>
      </c>
      <c r="E14" s="6">
        <v>0</v>
      </c>
      <c r="F14" s="6">
        <v>0</v>
      </c>
      <c r="G14" s="6">
        <v>0</v>
      </c>
      <c r="H14" s="6">
        <v>0</v>
      </c>
      <c r="I14" s="6">
        <v>23.55</v>
      </c>
      <c r="J14" s="6">
        <v>659415</v>
      </c>
      <c r="K14" s="6">
        <v>833258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1502099.9983</v>
      </c>
    </row>
    <row r="15" spans="1:18">
      <c r="A15" s="3" t="s">
        <v>24</v>
      </c>
      <c r="B15" s="3" t="s">
        <v>25</v>
      </c>
      <c r="C15" s="3" t="s">
        <v>36</v>
      </c>
      <c r="D15" s="6">
        <v>35902.3759</v>
      </c>
      <c r="E15" s="6">
        <v>0</v>
      </c>
      <c r="F15" s="6">
        <v>0</v>
      </c>
      <c r="G15" s="6">
        <v>0</v>
      </c>
      <c r="H15" s="6">
        <v>0</v>
      </c>
      <c r="I15" s="6">
        <v>6699.9</v>
      </c>
      <c r="J15" s="6">
        <v>1616018.5</v>
      </c>
      <c r="K15" s="6">
        <v>4505635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6164255.7759</v>
      </c>
    </row>
    <row r="16" spans="1:18">
      <c r="A16" s="3" t="s">
        <v>24</v>
      </c>
      <c r="B16" s="3" t="s">
        <v>25</v>
      </c>
      <c r="C16" s="3" t="s">
        <v>37</v>
      </c>
      <c r="D16" s="6">
        <v>5489.6822</v>
      </c>
      <c r="E16" s="6">
        <v>0</v>
      </c>
      <c r="F16" s="6">
        <v>0</v>
      </c>
      <c r="G16" s="6">
        <v>0</v>
      </c>
      <c r="H16" s="6">
        <v>0</v>
      </c>
      <c r="I16" s="6">
        <v>7101.9</v>
      </c>
      <c r="J16" s="6">
        <v>227962.34375</v>
      </c>
      <c r="K16" s="6">
        <v>686237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926790.92595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199300.05</v>
      </c>
      <c r="J17" s="6">
        <v>0</v>
      </c>
      <c r="K17" s="6">
        <v>225874.5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425174.55</v>
      </c>
    </row>
    <row r="18" spans="1:18">
      <c r="A18" s="3" t="s">
        <v>24</v>
      </c>
      <c r="B18" s="3" t="s">
        <v>25</v>
      </c>
      <c r="C18" s="3" t="s">
        <v>39</v>
      </c>
      <c r="D18" s="6">
        <v>18969.728</v>
      </c>
      <c r="E18" s="6">
        <v>0</v>
      </c>
      <c r="F18" s="6">
        <v>0</v>
      </c>
      <c r="G18" s="6">
        <v>0</v>
      </c>
      <c r="H18" s="6">
        <v>410569.22</v>
      </c>
      <c r="I18" s="6">
        <v>6526.8</v>
      </c>
      <c r="J18" s="6">
        <v>787086.3125</v>
      </c>
      <c r="K18" s="6">
        <v>1968044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3191196.0605</v>
      </c>
    </row>
    <row r="19" spans="1:18">
      <c r="A19" s="3" t="s">
        <v>24</v>
      </c>
      <c r="B19" s="3" t="s">
        <v>25</v>
      </c>
      <c r="C19" s="3" t="s">
        <v>40</v>
      </c>
      <c r="D19" s="6">
        <v>3118.713</v>
      </c>
      <c r="E19" s="6">
        <v>0</v>
      </c>
      <c r="F19" s="6">
        <v>0</v>
      </c>
      <c r="G19" s="6">
        <v>0</v>
      </c>
      <c r="H19" s="6">
        <v>0</v>
      </c>
      <c r="I19" s="6">
        <v>8643.9</v>
      </c>
      <c r="J19" s="6">
        <v>200285.578125</v>
      </c>
      <c r="K19" s="6">
        <v>401157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613205.191125</v>
      </c>
    </row>
    <row r="20" spans="1:18">
      <c r="A20" s="3" t="s">
        <v>24</v>
      </c>
      <c r="B20" s="3" t="s">
        <v>25</v>
      </c>
      <c r="C20" s="3" t="s">
        <v>41</v>
      </c>
      <c r="D20" s="6">
        <v>4468.7978</v>
      </c>
      <c r="E20" s="6">
        <v>0</v>
      </c>
      <c r="F20" s="6">
        <v>0</v>
      </c>
      <c r="G20" s="6">
        <v>0</v>
      </c>
      <c r="H20" s="6">
        <v>0</v>
      </c>
      <c r="I20" s="6">
        <v>174.9</v>
      </c>
      <c r="J20" s="6">
        <v>490244.6875</v>
      </c>
      <c r="K20" s="6">
        <v>967694.5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1462582.8853</v>
      </c>
    </row>
    <row r="21" spans="1:18">
      <c r="A21" s="3" t="s">
        <v>24</v>
      </c>
      <c r="B21" s="3" t="s">
        <v>25</v>
      </c>
      <c r="C21" s="3" t="s">
        <v>42</v>
      </c>
      <c r="D21" s="6">
        <v>16621.1051</v>
      </c>
      <c r="E21" s="6">
        <v>0</v>
      </c>
      <c r="F21" s="6">
        <v>0</v>
      </c>
      <c r="G21" s="6">
        <v>0</v>
      </c>
      <c r="H21" s="6">
        <v>0</v>
      </c>
      <c r="I21" s="6">
        <v>5990.85</v>
      </c>
      <c r="J21" s="6">
        <v>914208.875</v>
      </c>
      <c r="K21" s="6">
        <v>1900560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2837380.8301</v>
      </c>
    </row>
    <row r="22" spans="1:18">
      <c r="A22" s="3" t="s">
        <v>24</v>
      </c>
      <c r="B22" s="3" t="s">
        <v>25</v>
      </c>
      <c r="C22" s="3" t="s">
        <v>43</v>
      </c>
      <c r="D22" s="6">
        <v>18973.9846</v>
      </c>
      <c r="E22" s="6">
        <v>0</v>
      </c>
      <c r="F22" s="6">
        <v>0</v>
      </c>
      <c r="G22" s="6">
        <v>0</v>
      </c>
      <c r="H22" s="6">
        <v>612782</v>
      </c>
      <c r="I22" s="6">
        <v>12946.95</v>
      </c>
      <c r="J22" s="6">
        <v>1323586.875</v>
      </c>
      <c r="K22" s="6">
        <v>2686933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4655222.8096</v>
      </c>
    </row>
    <row r="23" spans="1:18">
      <c r="A23" s="3" t="s">
        <v>24</v>
      </c>
      <c r="B23" s="3" t="s">
        <v>25</v>
      </c>
      <c r="C23" s="3" t="s">
        <v>44</v>
      </c>
      <c r="D23" s="6">
        <v>15429.5747</v>
      </c>
      <c r="E23" s="6">
        <v>0</v>
      </c>
      <c r="F23" s="6">
        <v>0</v>
      </c>
      <c r="G23" s="6">
        <v>0</v>
      </c>
      <c r="H23" s="6">
        <v>686366</v>
      </c>
      <c r="I23" s="6">
        <v>27.75</v>
      </c>
      <c r="J23" s="6">
        <v>693687.75</v>
      </c>
      <c r="K23" s="6">
        <v>1284172.5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2679683.5747</v>
      </c>
    </row>
    <row r="24" spans="1:18">
      <c r="A24" s="3" t="s">
        <v>24</v>
      </c>
      <c r="B24" s="3" t="s">
        <v>25</v>
      </c>
      <c r="C24" s="3" t="s">
        <v>45</v>
      </c>
      <c r="D24" s="6">
        <v>24696.6102</v>
      </c>
      <c r="E24" s="6">
        <v>0</v>
      </c>
      <c r="F24" s="6">
        <v>0</v>
      </c>
      <c r="G24" s="6">
        <v>0</v>
      </c>
      <c r="H24" s="6">
        <v>0</v>
      </c>
      <c r="I24" s="6">
        <v>5.1</v>
      </c>
      <c r="J24" s="6">
        <v>914634</v>
      </c>
      <c r="K24" s="6">
        <v>2016959.5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2956295.2102</v>
      </c>
    </row>
    <row r="25" spans="1:18">
      <c r="A25" s="3" t="s">
        <v>24</v>
      </c>
      <c r="B25" s="3" t="s">
        <v>25</v>
      </c>
      <c r="C25" s="3" t="s">
        <v>46</v>
      </c>
      <c r="D25" s="6">
        <v>14417.1053</v>
      </c>
      <c r="E25" s="6">
        <v>0</v>
      </c>
      <c r="F25" s="6">
        <v>0</v>
      </c>
      <c r="G25" s="6">
        <v>0</v>
      </c>
      <c r="H25" s="6">
        <v>0</v>
      </c>
      <c r="I25" s="6">
        <v>41.4</v>
      </c>
      <c r="J25" s="6">
        <v>671496.9375</v>
      </c>
      <c r="K25" s="6">
        <v>1000509.5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1686464.9428</v>
      </c>
    </row>
    <row r="26" spans="1:18">
      <c r="A26" s="3" t="s">
        <v>24</v>
      </c>
      <c r="B26" s="3" t="s">
        <v>25</v>
      </c>
      <c r="C26" s="3" t="s">
        <v>47</v>
      </c>
      <c r="D26" s="6">
        <v>477.6728</v>
      </c>
      <c r="E26" s="6">
        <v>0</v>
      </c>
      <c r="F26" s="6">
        <v>0</v>
      </c>
      <c r="G26" s="6">
        <v>0</v>
      </c>
      <c r="H26" s="6">
        <v>0</v>
      </c>
      <c r="I26" s="6">
        <v>219.3</v>
      </c>
      <c r="J26" s="6">
        <v>0</v>
      </c>
      <c r="K26" s="6">
        <v>564382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565078.9728</v>
      </c>
    </row>
    <row r="27" spans="1:18">
      <c r="A27" s="3" t="s">
        <v>24</v>
      </c>
      <c r="B27" s="3" t="s">
        <v>25</v>
      </c>
      <c r="C27" s="3" t="s">
        <v>48</v>
      </c>
      <c r="D27" s="6">
        <v>7158.6496</v>
      </c>
      <c r="E27" s="6">
        <v>0</v>
      </c>
      <c r="F27" s="6">
        <v>0</v>
      </c>
      <c r="G27" s="6">
        <v>0</v>
      </c>
      <c r="H27" s="6">
        <v>0</v>
      </c>
      <c r="I27" s="6">
        <v>962.4</v>
      </c>
      <c r="J27" s="6">
        <v>494214.8125</v>
      </c>
      <c r="K27" s="6">
        <v>1141718.5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1644054.3621</v>
      </c>
    </row>
    <row r="28" spans="1:18">
      <c r="A28" s="3" t="s">
        <v>24</v>
      </c>
      <c r="B28" s="3" t="s">
        <v>25</v>
      </c>
      <c r="C28" s="3" t="s">
        <v>49</v>
      </c>
      <c r="D28" s="6">
        <v>4493.5141</v>
      </c>
      <c r="E28" s="6">
        <v>0</v>
      </c>
      <c r="F28" s="6">
        <v>0</v>
      </c>
      <c r="G28" s="6">
        <v>0</v>
      </c>
      <c r="H28" s="6">
        <v>0</v>
      </c>
      <c r="I28" s="6">
        <v>1129.8</v>
      </c>
      <c r="J28" s="6">
        <v>244429.34375</v>
      </c>
      <c r="K28" s="6">
        <v>379123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629175.65785</v>
      </c>
    </row>
    <row r="29" spans="1:18">
      <c r="A29" s="3" t="s">
        <v>24</v>
      </c>
      <c r="B29" s="3" t="s">
        <v>25</v>
      </c>
      <c r="C29" s="3" t="s">
        <v>50</v>
      </c>
      <c r="D29" s="6">
        <v>7195.1616</v>
      </c>
      <c r="E29" s="6">
        <v>0</v>
      </c>
      <c r="F29" s="6">
        <v>0</v>
      </c>
      <c r="G29" s="6">
        <v>0</v>
      </c>
      <c r="H29" s="6">
        <v>0</v>
      </c>
      <c r="I29" s="6">
        <v>3504.6</v>
      </c>
      <c r="J29" s="6">
        <v>462894.3125</v>
      </c>
      <c r="K29" s="6">
        <v>835625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1309219.0741</v>
      </c>
    </row>
    <row r="30" spans="1:18">
      <c r="A30" s="3" t="s">
        <v>24</v>
      </c>
      <c r="B30" s="3" t="s">
        <v>25</v>
      </c>
      <c r="C30" s="3" t="s">
        <v>51</v>
      </c>
      <c r="D30" s="6">
        <v>3221.9412</v>
      </c>
      <c r="E30" s="6">
        <v>0</v>
      </c>
      <c r="F30" s="6">
        <v>0</v>
      </c>
      <c r="G30" s="6">
        <v>0</v>
      </c>
      <c r="H30" s="6">
        <v>0</v>
      </c>
      <c r="I30" s="6">
        <v>3594.6</v>
      </c>
      <c r="J30" s="6">
        <v>179904.453125</v>
      </c>
      <c r="K30" s="6">
        <v>336354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523074.994325</v>
      </c>
    </row>
    <row r="31" spans="1:18">
      <c r="A31" s="3" t="s">
        <v>24</v>
      </c>
      <c r="B31" s="3" t="s">
        <v>25</v>
      </c>
      <c r="C31" s="3" t="s">
        <v>52</v>
      </c>
      <c r="D31" s="6">
        <v>14295.727</v>
      </c>
      <c r="E31" s="6">
        <v>0</v>
      </c>
      <c r="F31" s="6">
        <v>0</v>
      </c>
      <c r="G31" s="6">
        <v>0</v>
      </c>
      <c r="H31" s="6">
        <v>0</v>
      </c>
      <c r="I31" s="6">
        <v>2899.8</v>
      </c>
      <c r="J31" s="6">
        <v>688759.5</v>
      </c>
      <c r="K31" s="6">
        <v>2031687.5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2737642.527</v>
      </c>
    </row>
    <row r="32" spans="1:18">
      <c r="A32" s="3" t="s">
        <v>24</v>
      </c>
      <c r="B32" s="3" t="s">
        <v>25</v>
      </c>
      <c r="C32" s="3" t="s">
        <v>53</v>
      </c>
      <c r="D32" s="6">
        <v>26961.4159</v>
      </c>
      <c r="E32" s="6">
        <v>0</v>
      </c>
      <c r="F32" s="6">
        <v>0</v>
      </c>
      <c r="G32" s="6">
        <v>0</v>
      </c>
      <c r="H32" s="6">
        <v>0</v>
      </c>
      <c r="I32" s="6">
        <v>1502.7</v>
      </c>
      <c r="J32" s="6">
        <v>1196817.125</v>
      </c>
      <c r="K32" s="6">
        <v>2111806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3337087.2409</v>
      </c>
    </row>
    <row r="33" spans="1:18">
      <c r="A33" s="3" t="s">
        <v>24</v>
      </c>
      <c r="B33" s="3" t="s">
        <v>25</v>
      </c>
      <c r="C33" s="3" t="s">
        <v>54</v>
      </c>
      <c r="D33" s="6">
        <v>6183.3602</v>
      </c>
      <c r="E33" s="6">
        <v>0</v>
      </c>
      <c r="F33" s="6">
        <v>0</v>
      </c>
      <c r="G33" s="6">
        <v>0</v>
      </c>
      <c r="H33" s="6">
        <v>0</v>
      </c>
      <c r="I33" s="6">
        <v>2200.95</v>
      </c>
      <c r="J33" s="6">
        <v>406896.59375</v>
      </c>
      <c r="K33" s="6">
        <v>895801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1311081.90395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14.55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14.55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9863.708</v>
      </c>
      <c r="I35" s="6">
        <v>4.65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9868.358</v>
      </c>
    </row>
    <row r="36" spans="1:18">
      <c r="A36" s="3" t="s">
        <v>24</v>
      </c>
      <c r="B36" s="3" t="s">
        <v>55</v>
      </c>
      <c r="C36" s="3" t="s">
        <v>58</v>
      </c>
      <c r="D36" s="6">
        <v>4.3381</v>
      </c>
      <c r="E36" s="6">
        <v>0</v>
      </c>
      <c r="F36" s="6">
        <v>0</v>
      </c>
      <c r="G36" s="6">
        <v>0</v>
      </c>
      <c r="H36" s="6">
        <v>11087.705</v>
      </c>
      <c r="I36" s="6">
        <v>1.35</v>
      </c>
      <c r="J36" s="6">
        <v>0</v>
      </c>
      <c r="K36" s="6">
        <v>10305.5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61398.8931</v>
      </c>
    </row>
    <row r="37" spans="1:18">
      <c r="A37" s="3" t="s">
        <v>24</v>
      </c>
      <c r="B37" s="3" t="s">
        <v>55</v>
      </c>
      <c r="C37" s="3" t="s">
        <v>59</v>
      </c>
      <c r="D37" s="6">
        <v>8.4374</v>
      </c>
      <c r="E37" s="6">
        <v>0</v>
      </c>
      <c r="F37" s="6">
        <v>0</v>
      </c>
      <c r="G37" s="6">
        <v>0</v>
      </c>
      <c r="H37" s="6">
        <v>108898.914</v>
      </c>
      <c r="I37" s="6">
        <v>1204.5</v>
      </c>
      <c r="J37" s="6">
        <v>17359</v>
      </c>
      <c r="K37" s="6">
        <v>37670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205140.8514</v>
      </c>
    </row>
    <row r="38" spans="1:18">
      <c r="A38" s="3" t="s">
        <v>24</v>
      </c>
      <c r="B38" s="3" t="s">
        <v>55</v>
      </c>
      <c r="C38" s="3" t="s">
        <v>60</v>
      </c>
      <c r="D38" s="6">
        <v>3.0341</v>
      </c>
      <c r="E38" s="6">
        <v>0</v>
      </c>
      <c r="F38" s="6">
        <v>0</v>
      </c>
      <c r="G38" s="6">
        <v>0</v>
      </c>
      <c r="H38" s="6">
        <v>0</v>
      </c>
      <c r="I38" s="6">
        <v>384.45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ref="R38:R69" si="1">SUM(D38:Q38)</f>
        <v>40387.4841</v>
      </c>
    </row>
    <row r="39" spans="1:18">
      <c r="A39" s="3" t="s">
        <v>24</v>
      </c>
      <c r="B39" s="3" t="s">
        <v>55</v>
      </c>
      <c r="C39" s="3" t="s">
        <v>61</v>
      </c>
      <c r="D39" s="6">
        <v>30.579</v>
      </c>
      <c r="E39" s="6">
        <v>0</v>
      </c>
      <c r="F39" s="6">
        <v>0</v>
      </c>
      <c r="G39" s="6">
        <v>0</v>
      </c>
      <c r="H39" s="6">
        <v>376171.56</v>
      </c>
      <c r="I39" s="6">
        <v>5602.35</v>
      </c>
      <c r="J39" s="6">
        <v>52279</v>
      </c>
      <c r="K39" s="6">
        <v>127261.5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1"/>
        <v>601344.989</v>
      </c>
    </row>
    <row r="40" spans="1:18">
      <c r="A40" s="3" t="s">
        <v>24</v>
      </c>
      <c r="B40" s="3" t="s">
        <v>55</v>
      </c>
      <c r="C40" s="3" t="s">
        <v>62</v>
      </c>
      <c r="D40" s="6">
        <v>7.2293</v>
      </c>
      <c r="E40" s="6">
        <v>0</v>
      </c>
      <c r="F40" s="6">
        <v>0</v>
      </c>
      <c r="G40" s="6">
        <v>0</v>
      </c>
      <c r="H40" s="6">
        <v>164620.95</v>
      </c>
      <c r="I40" s="6">
        <v>587.4</v>
      </c>
      <c r="J40" s="6">
        <v>21458.650390625</v>
      </c>
      <c r="K40" s="6">
        <v>64417.5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1"/>
        <v>291091.729690625</v>
      </c>
    </row>
    <row r="41" spans="1:18">
      <c r="A41" s="3" t="s">
        <v>24</v>
      </c>
      <c r="B41" s="3" t="s">
        <v>55</v>
      </c>
      <c r="C41" s="3" t="s">
        <v>63</v>
      </c>
      <c r="D41" s="6">
        <v>0.5797</v>
      </c>
      <c r="E41" s="6">
        <v>0</v>
      </c>
      <c r="F41" s="6">
        <v>0</v>
      </c>
      <c r="G41" s="6">
        <v>0</v>
      </c>
      <c r="H41" s="6">
        <v>0</v>
      </c>
      <c r="I41" s="6">
        <v>24.75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1"/>
        <v>25.3297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889.65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1"/>
        <v>80889.65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12</v>
      </c>
      <c r="J43" s="6">
        <v>0</v>
      </c>
      <c r="K43" s="6">
        <v>71149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1"/>
        <v>71161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586455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1"/>
        <v>586455</v>
      </c>
    </row>
    <row r="45" spans="1:18">
      <c r="A45" s="3" t="s">
        <v>24</v>
      </c>
      <c r="B45" s="3" t="s">
        <v>69</v>
      </c>
      <c r="C45" s="3" t="s">
        <v>70</v>
      </c>
      <c r="D45" s="6">
        <v>2632.966</v>
      </c>
      <c r="E45" s="6">
        <v>94492.28125</v>
      </c>
      <c r="F45" s="6">
        <v>0</v>
      </c>
      <c r="G45" s="6">
        <v>0</v>
      </c>
      <c r="H45" s="6">
        <v>1641500</v>
      </c>
      <c r="I45" s="6">
        <v>3217.65</v>
      </c>
      <c r="J45" s="6">
        <v>98146.3125</v>
      </c>
      <c r="K45" s="6">
        <v>135299.90625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si="1"/>
        <v>1975289.116</v>
      </c>
    </row>
    <row r="46" spans="1:18">
      <c r="A46" s="3" t="s">
        <v>24</v>
      </c>
      <c r="B46" s="3" t="s">
        <v>69</v>
      </c>
      <c r="C46" s="3" t="s">
        <v>71</v>
      </c>
      <c r="D46" s="6">
        <v>1098.6478</v>
      </c>
      <c r="E46" s="6">
        <v>113937.5390625</v>
      </c>
      <c r="F46" s="6">
        <v>0</v>
      </c>
      <c r="G46" s="6">
        <v>0</v>
      </c>
      <c r="H46" s="6">
        <v>503800</v>
      </c>
      <c r="I46" s="6">
        <v>2547.18</v>
      </c>
      <c r="J46" s="6">
        <v>51364.69921875</v>
      </c>
      <c r="K46" s="6">
        <v>53559.5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726307.56608125</v>
      </c>
    </row>
    <row r="47" spans="1:18">
      <c r="A47" s="3" t="s">
        <v>24</v>
      </c>
      <c r="B47" s="3" t="s">
        <v>69</v>
      </c>
      <c r="C47" s="3" t="s">
        <v>72</v>
      </c>
      <c r="D47" s="6">
        <v>250.9799</v>
      </c>
      <c r="E47" s="6">
        <v>116966.75</v>
      </c>
      <c r="F47" s="6">
        <v>0</v>
      </c>
      <c r="G47" s="6">
        <v>0</v>
      </c>
      <c r="H47" s="6">
        <v>261000</v>
      </c>
      <c r="I47" s="6">
        <v>14260.69</v>
      </c>
      <c r="J47" s="6">
        <v>25895.55078125</v>
      </c>
      <c r="K47" s="6">
        <v>432143.09375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850517.06443125</v>
      </c>
    </row>
    <row r="48" spans="1:18">
      <c r="A48" s="3" t="s">
        <v>24</v>
      </c>
      <c r="B48" s="3" t="s">
        <v>69</v>
      </c>
      <c r="C48" s="3" t="s">
        <v>73</v>
      </c>
      <c r="D48" s="6">
        <v>3.8327</v>
      </c>
      <c r="E48" s="6">
        <v>0</v>
      </c>
      <c r="F48" s="6">
        <v>0</v>
      </c>
      <c r="G48" s="6">
        <v>0</v>
      </c>
      <c r="H48" s="6">
        <v>33600</v>
      </c>
      <c r="I48" s="6">
        <v>2470.53</v>
      </c>
      <c r="J48" s="6">
        <v>1940.08996582031</v>
      </c>
      <c r="K48" s="6">
        <v>39383.8984375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77398.3511033203</v>
      </c>
    </row>
    <row r="49" spans="1:18">
      <c r="A49" s="3" t="s">
        <v>24</v>
      </c>
      <c r="B49" s="3" t="s">
        <v>69</v>
      </c>
      <c r="C49" s="3" t="s">
        <v>74</v>
      </c>
      <c r="D49" s="6">
        <v>2997.5243</v>
      </c>
      <c r="E49" s="6">
        <v>241094.875</v>
      </c>
      <c r="F49" s="6">
        <v>0</v>
      </c>
      <c r="G49" s="6">
        <v>0</v>
      </c>
      <c r="H49" s="6">
        <v>1679120</v>
      </c>
      <c r="I49" s="6">
        <v>26943.98</v>
      </c>
      <c r="J49" s="6">
        <v>186631.0625</v>
      </c>
      <c r="K49" s="6">
        <v>115503.3984375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2252290.8402375</v>
      </c>
    </row>
    <row r="50" spans="1:18">
      <c r="A50" s="3" t="s">
        <v>24</v>
      </c>
      <c r="B50" s="3" t="s">
        <v>69</v>
      </c>
      <c r="C50" s="3" t="s">
        <v>75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0</v>
      </c>
    </row>
    <row r="51" spans="1:18">
      <c r="A51" s="3" t="s">
        <v>24</v>
      </c>
      <c r="B51" s="3" t="s">
        <v>69</v>
      </c>
      <c r="C51" s="3" t="s">
        <v>76</v>
      </c>
      <c r="D51" s="6">
        <v>4570.0364</v>
      </c>
      <c r="E51" s="6">
        <v>118811.15625</v>
      </c>
      <c r="F51" s="6">
        <v>0</v>
      </c>
      <c r="G51" s="6">
        <v>0</v>
      </c>
      <c r="H51" s="6">
        <v>816425</v>
      </c>
      <c r="I51" s="6">
        <v>3777.36</v>
      </c>
      <c r="J51" s="6">
        <v>172606.65625</v>
      </c>
      <c r="K51" s="6">
        <v>207393.40625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1323583.61515</v>
      </c>
    </row>
    <row r="52" spans="1:18">
      <c r="A52" s="3" t="s">
        <v>24</v>
      </c>
      <c r="B52" s="3" t="s">
        <v>69</v>
      </c>
      <c r="C52" s="3" t="s">
        <v>77</v>
      </c>
      <c r="D52" s="6">
        <v>1058.0406</v>
      </c>
      <c r="E52" s="6">
        <v>186146.296875</v>
      </c>
      <c r="F52" s="6">
        <v>0</v>
      </c>
      <c r="G52" s="6">
        <v>0</v>
      </c>
      <c r="H52" s="6">
        <v>932900</v>
      </c>
      <c r="I52" s="6">
        <v>5855.57</v>
      </c>
      <c r="J52" s="6">
        <v>67718.71875</v>
      </c>
      <c r="K52" s="6">
        <v>114643.8984375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1308322.5246625</v>
      </c>
    </row>
    <row r="53" spans="1:18">
      <c r="A53" s="3" t="s">
        <v>24</v>
      </c>
      <c r="B53" s="3" t="s">
        <v>69</v>
      </c>
      <c r="C53" s="3" t="s">
        <v>78</v>
      </c>
      <c r="D53" s="6">
        <v>50.7366</v>
      </c>
      <c r="E53" s="6">
        <v>0</v>
      </c>
      <c r="F53" s="6">
        <v>0</v>
      </c>
      <c r="G53" s="6">
        <v>0</v>
      </c>
      <c r="H53" s="6">
        <v>74500</v>
      </c>
      <c r="I53" s="6">
        <v>1333.2</v>
      </c>
      <c r="J53" s="6">
        <v>3606.8798828125</v>
      </c>
      <c r="K53" s="6">
        <v>2891.69995117188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82382.5164339844</v>
      </c>
    </row>
    <row r="54" spans="1:18">
      <c r="A54" s="3" t="s">
        <v>24</v>
      </c>
      <c r="B54" s="3" t="s">
        <v>69</v>
      </c>
      <c r="C54" s="3" t="s">
        <v>79</v>
      </c>
      <c r="D54" s="6">
        <v>38.4613</v>
      </c>
      <c r="E54" s="6">
        <v>6755.3798828125</v>
      </c>
      <c r="F54" s="6">
        <v>0</v>
      </c>
      <c r="G54" s="6">
        <v>0</v>
      </c>
      <c r="H54" s="6">
        <v>69000</v>
      </c>
      <c r="I54" s="6">
        <v>5567.97</v>
      </c>
      <c r="J54" s="6">
        <v>3365.71997070313</v>
      </c>
      <c r="K54" s="6">
        <v>36478.6015625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121206.132716016</v>
      </c>
    </row>
    <row r="55" spans="1:18">
      <c r="A55" s="3" t="s">
        <v>24</v>
      </c>
      <c r="B55" s="3" t="s">
        <v>69</v>
      </c>
      <c r="C55" s="3" t="s">
        <v>80</v>
      </c>
      <c r="D55" s="6">
        <v>0</v>
      </c>
      <c r="E55" s="6">
        <v>0</v>
      </c>
      <c r="F55" s="6">
        <v>0</v>
      </c>
      <c r="G55" s="6">
        <v>0</v>
      </c>
      <c r="H55" s="6">
        <v>11200</v>
      </c>
      <c r="I55" s="6">
        <v>128.25</v>
      </c>
      <c r="J55" s="6">
        <v>528.929992675781</v>
      </c>
      <c r="K55" s="6">
        <v>358.600006103516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12215.7799987793</v>
      </c>
    </row>
    <row r="56" spans="1:18">
      <c r="A56" s="3" t="s">
        <v>24</v>
      </c>
      <c r="B56" s="3" t="s">
        <v>69</v>
      </c>
      <c r="C56" s="3" t="s">
        <v>81</v>
      </c>
      <c r="D56" s="6">
        <v>118.1128</v>
      </c>
      <c r="E56" s="6">
        <v>98.8600006103516</v>
      </c>
      <c r="F56" s="6">
        <v>0</v>
      </c>
      <c r="G56" s="6">
        <v>0</v>
      </c>
      <c r="H56" s="6">
        <v>228300</v>
      </c>
      <c r="I56" s="6">
        <v>13465.99</v>
      </c>
      <c r="J56" s="6">
        <v>8774.9296875</v>
      </c>
      <c r="K56" s="6">
        <v>15238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265995.89248811</v>
      </c>
    </row>
    <row r="57" spans="1:18">
      <c r="A57" s="3" t="s">
        <v>24</v>
      </c>
      <c r="B57" s="3" t="s">
        <v>69</v>
      </c>
      <c r="C57" s="3" t="s">
        <v>82</v>
      </c>
      <c r="D57" s="6">
        <v>547.7096</v>
      </c>
      <c r="E57" s="6">
        <v>3466.580078125</v>
      </c>
      <c r="F57" s="6">
        <v>0</v>
      </c>
      <c r="G57" s="6">
        <v>0</v>
      </c>
      <c r="H57" s="6">
        <v>566570</v>
      </c>
      <c r="I57" s="6">
        <v>321.02</v>
      </c>
      <c r="J57" s="6">
        <v>37241.1015625</v>
      </c>
      <c r="K57" s="6">
        <v>17453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625599.411240625</v>
      </c>
    </row>
    <row r="58" spans="1:18">
      <c r="A58" s="3" t="s">
        <v>24</v>
      </c>
      <c r="B58" s="3" t="s">
        <v>69</v>
      </c>
      <c r="C58" s="3" t="s">
        <v>83</v>
      </c>
      <c r="D58" s="6">
        <v>4721.8206</v>
      </c>
      <c r="E58" s="6">
        <v>459376.625</v>
      </c>
      <c r="F58" s="6">
        <v>0</v>
      </c>
      <c r="G58" s="6">
        <v>0</v>
      </c>
      <c r="H58" s="6">
        <v>406800</v>
      </c>
      <c r="I58" s="6">
        <v>3826.18</v>
      </c>
      <c r="J58" s="6">
        <v>218028.984375</v>
      </c>
      <c r="K58" s="6">
        <v>219381.203125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1312134.8131</v>
      </c>
    </row>
    <row r="59" spans="1:18">
      <c r="A59" s="3" t="s">
        <v>24</v>
      </c>
      <c r="B59" s="3" t="s">
        <v>69</v>
      </c>
      <c r="C59" s="3" t="s">
        <v>84</v>
      </c>
      <c r="D59" s="6">
        <v>498.1542</v>
      </c>
      <c r="E59" s="6">
        <v>12276.1298828125</v>
      </c>
      <c r="F59" s="6">
        <v>0</v>
      </c>
      <c r="G59" s="6">
        <v>0</v>
      </c>
      <c r="H59" s="6">
        <v>542500</v>
      </c>
      <c r="I59" s="6">
        <v>6905.46</v>
      </c>
      <c r="J59" s="6">
        <v>28469</v>
      </c>
      <c r="K59" s="6">
        <v>20726.30078125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611375.044864062</v>
      </c>
    </row>
    <row r="60" spans="1:18">
      <c r="A60" s="3" t="s">
        <v>24</v>
      </c>
      <c r="B60" s="3" t="s">
        <v>69</v>
      </c>
      <c r="C60" s="3" t="s">
        <v>85</v>
      </c>
      <c r="D60" s="6">
        <v>381.7414</v>
      </c>
      <c r="E60" s="6">
        <v>28416.359375</v>
      </c>
      <c r="F60" s="6">
        <v>0</v>
      </c>
      <c r="G60" s="6">
        <v>0</v>
      </c>
      <c r="H60" s="6">
        <v>420000</v>
      </c>
      <c r="I60" s="6">
        <v>21626.03</v>
      </c>
      <c r="J60" s="6">
        <v>23181.349609375</v>
      </c>
      <c r="K60" s="6">
        <v>16652.5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510257.980384375</v>
      </c>
    </row>
    <row r="61" spans="1:18">
      <c r="A61" s="3" t="s">
        <v>24</v>
      </c>
      <c r="B61" s="3" t="s">
        <v>69</v>
      </c>
      <c r="C61" s="3" t="s">
        <v>86</v>
      </c>
      <c r="D61" s="6">
        <v>4492.4592</v>
      </c>
      <c r="E61" s="6">
        <v>291652.90625</v>
      </c>
      <c r="F61" s="6">
        <v>0</v>
      </c>
      <c r="G61" s="6">
        <v>0</v>
      </c>
      <c r="H61" s="6">
        <v>862032</v>
      </c>
      <c r="I61" s="6">
        <v>12155.6</v>
      </c>
      <c r="J61" s="6">
        <v>208709.8125</v>
      </c>
      <c r="K61" s="6">
        <v>186652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1565694.77795</v>
      </c>
    </row>
    <row r="62" spans="1:18">
      <c r="A62" s="3" t="s">
        <v>24</v>
      </c>
      <c r="B62" s="3" t="s">
        <v>69</v>
      </c>
      <c r="C62" s="3" t="s">
        <v>87</v>
      </c>
      <c r="D62" s="6">
        <v>100.6867</v>
      </c>
      <c r="E62" s="6">
        <v>6311.3701171875</v>
      </c>
      <c r="F62" s="6">
        <v>0</v>
      </c>
      <c r="G62" s="6">
        <v>0</v>
      </c>
      <c r="H62" s="6">
        <v>72000</v>
      </c>
      <c r="I62" s="6">
        <v>1054.81</v>
      </c>
      <c r="J62" s="6">
        <v>8337.7197265625</v>
      </c>
      <c r="K62" s="6">
        <v>25534.19921875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113338.7857625</v>
      </c>
    </row>
    <row r="63" spans="1:18">
      <c r="A63" s="3" t="s">
        <v>24</v>
      </c>
      <c r="B63" s="3" t="s">
        <v>69</v>
      </c>
      <c r="C63" s="3" t="s">
        <v>88</v>
      </c>
      <c r="D63" s="6">
        <v>2404.0583</v>
      </c>
      <c r="E63" s="6">
        <v>88465.3984375</v>
      </c>
      <c r="F63" s="6">
        <v>0</v>
      </c>
      <c r="G63" s="6">
        <v>0</v>
      </c>
      <c r="H63" s="6">
        <v>1362000</v>
      </c>
      <c r="I63" s="6">
        <v>31903.93</v>
      </c>
      <c r="J63" s="6">
        <v>94052.9296875</v>
      </c>
      <c r="K63" s="6">
        <v>106446.3984375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1685272.7148625</v>
      </c>
    </row>
    <row r="64" spans="1:18">
      <c r="A64" s="3" t="s">
        <v>24</v>
      </c>
      <c r="B64" s="3" t="s">
        <v>69</v>
      </c>
      <c r="C64" s="3" t="s">
        <v>89</v>
      </c>
      <c r="D64" s="6">
        <v>158.7551</v>
      </c>
      <c r="E64" s="6">
        <v>6222.77978515625</v>
      </c>
      <c r="F64" s="6">
        <v>0</v>
      </c>
      <c r="G64" s="6">
        <v>0</v>
      </c>
      <c r="H64" s="6">
        <v>92400</v>
      </c>
      <c r="I64" s="6">
        <v>284.55</v>
      </c>
      <c r="J64" s="6">
        <v>11065.1201171875</v>
      </c>
      <c r="K64" s="6">
        <v>9203.599609375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119334.804611719</v>
      </c>
    </row>
    <row r="65" spans="1:18">
      <c r="A65" s="3" t="s">
        <v>24</v>
      </c>
      <c r="B65" s="3" t="s">
        <v>69</v>
      </c>
      <c r="C65" s="3" t="s">
        <v>90</v>
      </c>
      <c r="D65" s="6">
        <v>3016.0787</v>
      </c>
      <c r="E65" s="6">
        <v>272022.15625</v>
      </c>
      <c r="F65" s="6">
        <v>0</v>
      </c>
      <c r="G65" s="6">
        <v>0</v>
      </c>
      <c r="H65" s="6">
        <v>1170600</v>
      </c>
      <c r="I65" s="6">
        <v>7872.92</v>
      </c>
      <c r="J65" s="6">
        <v>61318.48046875</v>
      </c>
      <c r="K65" s="6">
        <v>277518.6875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1792348.32291875</v>
      </c>
    </row>
    <row r="66" spans="1:18">
      <c r="A66" s="3" t="s">
        <v>24</v>
      </c>
      <c r="B66" s="3" t="s">
        <v>91</v>
      </c>
      <c r="C66" s="3" t="s">
        <v>92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6108.5400390625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6108.5400390625</v>
      </c>
    </row>
    <row r="67" spans="1:18">
      <c r="A67" s="3" t="s">
        <v>24</v>
      </c>
      <c r="B67" s="3" t="s">
        <v>91</v>
      </c>
      <c r="C67" s="3" t="s">
        <v>93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64632.45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64632.45</v>
      </c>
    </row>
    <row r="68" spans="1:18">
      <c r="A68" s="3" t="s">
        <v>24</v>
      </c>
      <c r="B68" s="3" t="s">
        <v>91</v>
      </c>
      <c r="C68" s="3" t="s">
        <v>94</v>
      </c>
      <c r="D68" s="6">
        <v>2.7588</v>
      </c>
      <c r="E68" s="6">
        <v>31.6800003051758</v>
      </c>
      <c r="F68" s="6">
        <v>0</v>
      </c>
      <c r="G68" s="6">
        <v>0</v>
      </c>
      <c r="H68" s="6">
        <v>0</v>
      </c>
      <c r="I68" s="6">
        <v>375.75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410.188800305176</v>
      </c>
    </row>
    <row r="69" spans="1:18">
      <c r="A69" s="3" t="s">
        <v>24</v>
      </c>
      <c r="B69" s="3" t="s">
        <v>91</v>
      </c>
      <c r="C69" s="3" t="s">
        <v>95</v>
      </c>
      <c r="D69" s="6">
        <v>4.1443</v>
      </c>
      <c r="E69" s="6">
        <v>4114.080078125</v>
      </c>
      <c r="F69" s="6">
        <v>0</v>
      </c>
      <c r="G69" s="6">
        <v>0</v>
      </c>
      <c r="H69" s="6">
        <v>0</v>
      </c>
      <c r="I69" s="6">
        <v>7.05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4125.274378125</v>
      </c>
    </row>
    <row r="70" spans="1:18">
      <c r="A70" s="3" t="s">
        <v>24</v>
      </c>
      <c r="B70" s="3" t="s">
        <v>91</v>
      </c>
      <c r="C70" s="3" t="s">
        <v>96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231.3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ref="R70:R101" si="2">SUM(D70:Q70)</f>
        <v>231.3</v>
      </c>
    </row>
    <row r="71" spans="1:18">
      <c r="A71" s="3" t="s">
        <v>24</v>
      </c>
      <c r="B71" s="3" t="s">
        <v>91</v>
      </c>
      <c r="C71" s="3" t="s">
        <v>97</v>
      </c>
      <c r="D71" s="6">
        <v>14.593</v>
      </c>
      <c r="E71" s="6">
        <v>261.359985351563</v>
      </c>
      <c r="F71" s="6">
        <v>0</v>
      </c>
      <c r="G71" s="6">
        <v>0</v>
      </c>
      <c r="H71" s="6">
        <v>0</v>
      </c>
      <c r="I71" s="6">
        <v>123.6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si="2"/>
        <v>399.552985351563</v>
      </c>
    </row>
    <row r="72" spans="1:18">
      <c r="A72" s="3" t="s">
        <v>24</v>
      </c>
      <c r="B72" s="3" t="s">
        <v>91</v>
      </c>
      <c r="C72" s="3" t="s">
        <v>98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153.15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153.15</v>
      </c>
    </row>
    <row r="73" spans="1:18">
      <c r="A73" s="3" t="s">
        <v>24</v>
      </c>
      <c r="B73" s="3" t="s">
        <v>91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408.3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408.3</v>
      </c>
    </row>
    <row r="74" spans="1:18">
      <c r="A74" s="3" t="s">
        <v>24</v>
      </c>
      <c r="B74" s="3" t="s">
        <v>91</v>
      </c>
      <c r="C74" s="3" t="s">
        <v>100</v>
      </c>
      <c r="D74" s="6">
        <v>2.7184</v>
      </c>
      <c r="E74" s="6">
        <v>4241.8798828125</v>
      </c>
      <c r="F74" s="6">
        <v>0</v>
      </c>
      <c r="G74" s="6">
        <v>0</v>
      </c>
      <c r="H74" s="6">
        <v>0</v>
      </c>
      <c r="I74" s="6">
        <v>2548.95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6793.5482828125</v>
      </c>
    </row>
    <row r="75" spans="1:18">
      <c r="A75" s="3" t="s">
        <v>24</v>
      </c>
      <c r="B75" s="3" t="s">
        <v>91</v>
      </c>
      <c r="C75" s="3" t="s">
        <v>101</v>
      </c>
      <c r="D75" s="6">
        <v>0</v>
      </c>
      <c r="E75" s="6">
        <v>1328.40002441406</v>
      </c>
      <c r="F75" s="6">
        <v>0</v>
      </c>
      <c r="G75" s="6">
        <v>0</v>
      </c>
      <c r="H75" s="6">
        <v>0</v>
      </c>
      <c r="I75" s="6">
        <v>2222.25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3550.65002441406</v>
      </c>
    </row>
    <row r="76" spans="1:18">
      <c r="A76" s="3" t="s">
        <v>24</v>
      </c>
      <c r="B76" s="3" t="s">
        <v>91</v>
      </c>
      <c r="C76" s="3" t="s">
        <v>102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69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69</v>
      </c>
    </row>
    <row r="77" spans="1:18">
      <c r="A77" s="3" t="s">
        <v>24</v>
      </c>
      <c r="B77" s="3" t="s">
        <v>91</v>
      </c>
      <c r="C77" s="3" t="s">
        <v>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651.6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651.6</v>
      </c>
    </row>
    <row r="78" spans="1:18">
      <c r="A78" s="3" t="s">
        <v>24</v>
      </c>
      <c r="B78" s="3" t="s">
        <v>91</v>
      </c>
      <c r="C78" s="3" t="s">
        <v>104</v>
      </c>
      <c r="D78" s="6">
        <v>7.9597</v>
      </c>
      <c r="E78" s="6">
        <v>48.5999984741211</v>
      </c>
      <c r="F78" s="6">
        <v>0</v>
      </c>
      <c r="G78" s="6">
        <v>0</v>
      </c>
      <c r="H78" s="6">
        <v>0</v>
      </c>
      <c r="I78" s="6">
        <v>62028.3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62084.8596984741</v>
      </c>
    </row>
    <row r="79" spans="1:18">
      <c r="A79" s="3" t="s">
        <v>24</v>
      </c>
      <c r="B79" s="3" t="s">
        <v>91</v>
      </c>
      <c r="C79" s="3" t="s">
        <v>105</v>
      </c>
      <c r="D79" s="6">
        <v>20.3119</v>
      </c>
      <c r="E79" s="6">
        <v>55.7999992370605</v>
      </c>
      <c r="F79" s="6">
        <v>0</v>
      </c>
      <c r="G79" s="6">
        <v>0</v>
      </c>
      <c r="H79" s="6">
        <v>0</v>
      </c>
      <c r="I79" s="6">
        <v>107.55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183.66189923706</v>
      </c>
    </row>
    <row r="80" spans="1:18">
      <c r="A80" s="3" t="s">
        <v>24</v>
      </c>
      <c r="B80" s="3" t="s">
        <v>91</v>
      </c>
      <c r="C80" s="3" t="s">
        <v>106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0</v>
      </c>
    </row>
    <row r="81" spans="1:18">
      <c r="A81" s="3" t="s">
        <v>24</v>
      </c>
      <c r="B81" s="3" t="s">
        <v>91</v>
      </c>
      <c r="C81" s="3" t="s">
        <v>107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76.35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76.35</v>
      </c>
    </row>
    <row r="82" spans="1:18">
      <c r="A82" s="3" t="s">
        <v>24</v>
      </c>
      <c r="B82" s="3" t="s">
        <v>91</v>
      </c>
      <c r="C82" s="3" t="s">
        <v>108</v>
      </c>
      <c r="D82" s="6">
        <v>4.9628</v>
      </c>
      <c r="E82" s="6">
        <v>0</v>
      </c>
      <c r="F82" s="6">
        <v>0</v>
      </c>
      <c r="G82" s="6">
        <v>0</v>
      </c>
      <c r="H82" s="6">
        <v>0</v>
      </c>
      <c r="I82" s="6">
        <v>372.9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377.8628</v>
      </c>
    </row>
    <row r="83" spans="1:18">
      <c r="A83" s="3" t="s">
        <v>24</v>
      </c>
      <c r="B83" s="3" t="s">
        <v>91</v>
      </c>
      <c r="C83" s="3" t="s">
        <v>109</v>
      </c>
      <c r="D83" s="6">
        <v>3.9736</v>
      </c>
      <c r="E83" s="6">
        <v>0</v>
      </c>
      <c r="F83" s="6">
        <v>0</v>
      </c>
      <c r="G83" s="6">
        <v>0</v>
      </c>
      <c r="H83" s="6">
        <v>0</v>
      </c>
      <c r="I83" s="6">
        <v>14770.8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14774.7736</v>
      </c>
    </row>
    <row r="84" spans="1:18">
      <c r="A84" s="3" t="s">
        <v>24</v>
      </c>
      <c r="B84" s="3" t="s">
        <v>91</v>
      </c>
      <c r="C84" s="3" t="s">
        <v>110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1029.45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1029.45</v>
      </c>
    </row>
    <row r="85" spans="1:18">
      <c r="A85" s="3" t="s">
        <v>24</v>
      </c>
      <c r="B85" s="3" t="s">
        <v>91</v>
      </c>
      <c r="C85" s="3" t="s">
        <v>111</v>
      </c>
      <c r="D85" s="6">
        <v>0</v>
      </c>
      <c r="E85" s="6">
        <v>12.6000003814697</v>
      </c>
      <c r="F85" s="6">
        <v>0</v>
      </c>
      <c r="G85" s="6">
        <v>0</v>
      </c>
      <c r="H85" s="6">
        <v>0</v>
      </c>
      <c r="I85" s="6">
        <v>103.8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116.40000038147</v>
      </c>
    </row>
    <row r="86" spans="1:18">
      <c r="A86" s="3" t="s">
        <v>24</v>
      </c>
      <c r="B86" s="3" t="s">
        <v>91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9.15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9.15</v>
      </c>
    </row>
    <row r="87" spans="1:18">
      <c r="A87" s="3" t="s">
        <v>24</v>
      </c>
      <c r="B87" s="3" t="s">
        <v>91</v>
      </c>
      <c r="C87" s="3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1341.45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1341.45</v>
      </c>
    </row>
    <row r="88" spans="1:18">
      <c r="A88" s="3" t="s">
        <v>24</v>
      </c>
      <c r="B88" s="3" t="s">
        <v>91</v>
      </c>
      <c r="C88" s="3" t="s">
        <v>114</v>
      </c>
      <c r="D88" s="6">
        <v>8.9917</v>
      </c>
      <c r="E88" s="6">
        <v>34.9199981689453</v>
      </c>
      <c r="F88" s="6">
        <v>0</v>
      </c>
      <c r="G88" s="6">
        <v>0</v>
      </c>
      <c r="H88" s="6">
        <v>0</v>
      </c>
      <c r="I88" s="6">
        <v>128776.95</v>
      </c>
      <c r="J88" s="6">
        <v>28930.94921875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157751.810916919</v>
      </c>
    </row>
    <row r="89" spans="1:18">
      <c r="A89" s="3" t="s">
        <v>24</v>
      </c>
      <c r="B89" s="3" t="s">
        <v>91</v>
      </c>
      <c r="C89" s="3" t="s">
        <v>115</v>
      </c>
      <c r="D89" s="6">
        <v>3.3001</v>
      </c>
      <c r="E89" s="6">
        <v>54.7200012207031</v>
      </c>
      <c r="F89" s="6">
        <v>0</v>
      </c>
      <c r="G89" s="6">
        <v>0</v>
      </c>
      <c r="H89" s="6">
        <v>0</v>
      </c>
      <c r="I89" s="6">
        <v>2739.3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2797.3201012207</v>
      </c>
    </row>
    <row r="90" spans="1:18">
      <c r="A90" s="3" t="s">
        <v>24</v>
      </c>
      <c r="B90" s="3" t="s">
        <v>91</v>
      </c>
      <c r="C90" s="3" t="s">
        <v>116</v>
      </c>
      <c r="D90" s="6">
        <v>0</v>
      </c>
      <c r="E90" s="6">
        <v>39.5999984741211</v>
      </c>
      <c r="F90" s="6">
        <v>0</v>
      </c>
      <c r="G90" s="6">
        <v>0</v>
      </c>
      <c r="H90" s="6">
        <v>0</v>
      </c>
      <c r="I90" s="6">
        <v>19526.55</v>
      </c>
      <c r="J90" s="6">
        <v>14880.7998046875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34446.9498031616</v>
      </c>
    </row>
    <row r="91" spans="1:18">
      <c r="A91" s="3" t="s">
        <v>24</v>
      </c>
      <c r="B91" s="3" t="s">
        <v>91</v>
      </c>
      <c r="C91" s="3" t="s">
        <v>117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78.15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78.15</v>
      </c>
    </row>
    <row r="92" spans="1:18">
      <c r="A92" s="3" t="s">
        <v>24</v>
      </c>
      <c r="B92" s="3" t="s">
        <v>91</v>
      </c>
      <c r="C92" s="3" t="s">
        <v>118</v>
      </c>
      <c r="D92" s="6">
        <v>3.5862</v>
      </c>
      <c r="E92" s="6">
        <v>0</v>
      </c>
      <c r="F92" s="6">
        <v>0</v>
      </c>
      <c r="G92" s="6">
        <v>0</v>
      </c>
      <c r="H92" s="6">
        <v>0</v>
      </c>
      <c r="I92" s="6">
        <v>54.75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58.3362</v>
      </c>
    </row>
    <row r="93" spans="1:18">
      <c r="A93" s="3" t="s">
        <v>24</v>
      </c>
      <c r="B93" s="3" t="s">
        <v>91</v>
      </c>
      <c r="C93" s="3" t="s">
        <v>119</v>
      </c>
      <c r="D93" s="6">
        <v>1.7208</v>
      </c>
      <c r="E93" s="6">
        <v>0</v>
      </c>
      <c r="F93" s="6">
        <v>0</v>
      </c>
      <c r="G93" s="6">
        <v>0</v>
      </c>
      <c r="H93" s="6">
        <v>0</v>
      </c>
      <c r="I93" s="6">
        <v>363.6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365.3208</v>
      </c>
    </row>
    <row r="94" spans="1:18">
      <c r="A94" s="3" t="s">
        <v>24</v>
      </c>
      <c r="B94" s="3" t="s">
        <v>91</v>
      </c>
      <c r="C94" s="3" t="s">
        <v>120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113.25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113.25</v>
      </c>
    </row>
    <row r="95" spans="1:18">
      <c r="A95" s="3" t="s">
        <v>24</v>
      </c>
      <c r="B95" s="3" t="s">
        <v>91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54.9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54.9</v>
      </c>
    </row>
    <row r="96" spans="1:18">
      <c r="A96" s="3" t="s">
        <v>24</v>
      </c>
      <c r="B96" s="3" t="s">
        <v>91</v>
      </c>
      <c r="C96" s="3" t="s">
        <v>122</v>
      </c>
      <c r="D96" s="6">
        <v>1.4186</v>
      </c>
      <c r="E96" s="6">
        <v>99.3600006103516</v>
      </c>
      <c r="F96" s="6">
        <v>0</v>
      </c>
      <c r="G96" s="6">
        <v>0</v>
      </c>
      <c r="H96" s="6">
        <v>0</v>
      </c>
      <c r="I96" s="6">
        <v>72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172.778600610352</v>
      </c>
    </row>
    <row r="97" spans="1:18">
      <c r="A97" s="3" t="s">
        <v>24</v>
      </c>
      <c r="B97" s="3" t="s">
        <v>91</v>
      </c>
      <c r="C97" s="3" t="s">
        <v>123</v>
      </c>
      <c r="D97" s="6">
        <v>3.7079</v>
      </c>
      <c r="E97" s="6">
        <v>48.9599990844727</v>
      </c>
      <c r="F97" s="6">
        <v>0</v>
      </c>
      <c r="G97" s="6">
        <v>0</v>
      </c>
      <c r="H97" s="6">
        <v>0</v>
      </c>
      <c r="I97" s="6">
        <v>56382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56434.6678990845</v>
      </c>
    </row>
    <row r="98" spans="1:18">
      <c r="A98" s="3" t="s">
        <v>24</v>
      </c>
      <c r="B98" s="3" t="s">
        <v>91</v>
      </c>
      <c r="C98" s="3" t="s">
        <v>124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4783.2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4783.2</v>
      </c>
    </row>
    <row r="99" spans="1:18">
      <c r="A99" s="3" t="s">
        <v>24</v>
      </c>
      <c r="B99" s="3" t="s">
        <v>91</v>
      </c>
      <c r="C99" s="3" t="s">
        <v>125</v>
      </c>
      <c r="D99" s="6">
        <v>0</v>
      </c>
      <c r="E99" s="6">
        <v>447.119995117188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447.119995117188</v>
      </c>
    </row>
    <row r="100" spans="1:18">
      <c r="A100" s="3" t="s">
        <v>24</v>
      </c>
      <c r="B100" s="3" t="s">
        <v>91</v>
      </c>
      <c r="C100" s="3" t="s">
        <v>126</v>
      </c>
      <c r="D100" s="6">
        <v>0</v>
      </c>
      <c r="E100" s="6">
        <v>928.799987792969</v>
      </c>
      <c r="F100" s="6">
        <v>0</v>
      </c>
      <c r="G100" s="6">
        <v>0</v>
      </c>
      <c r="H100" s="6">
        <v>0</v>
      </c>
      <c r="I100" s="6">
        <v>110.4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1039.19998779297</v>
      </c>
    </row>
    <row r="101" spans="1:18">
      <c r="A101" s="3" t="s">
        <v>24</v>
      </c>
      <c r="B101" s="3" t="s">
        <v>91</v>
      </c>
      <c r="C101" s="3" t="s">
        <v>127</v>
      </c>
      <c r="D101" s="6">
        <v>1.5314</v>
      </c>
      <c r="E101" s="6">
        <v>45.3600006103516</v>
      </c>
      <c r="F101" s="6">
        <v>0</v>
      </c>
      <c r="G101" s="6">
        <v>0</v>
      </c>
      <c r="H101" s="6">
        <v>0</v>
      </c>
      <c r="I101" s="6">
        <v>267.6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314.491400610352</v>
      </c>
    </row>
    <row r="102" spans="1:18">
      <c r="A102" s="3" t="s">
        <v>24</v>
      </c>
      <c r="B102" s="3" t="s">
        <v>91</v>
      </c>
      <c r="C102" s="3" t="s">
        <v>128</v>
      </c>
      <c r="D102" s="6">
        <v>4.6728</v>
      </c>
      <c r="E102" s="6">
        <v>122.400001525879</v>
      </c>
      <c r="F102" s="6">
        <v>0</v>
      </c>
      <c r="G102" s="6">
        <v>0</v>
      </c>
      <c r="H102" s="6">
        <v>0</v>
      </c>
      <c r="I102" s="6">
        <v>22.2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ref="R102:R133" si="3">SUM(D102:Q102)</f>
        <v>149.272801525879</v>
      </c>
    </row>
    <row r="103" spans="1:18">
      <c r="A103" s="3" t="s">
        <v>24</v>
      </c>
      <c r="B103" s="3" t="s">
        <v>91</v>
      </c>
      <c r="C103" s="3" t="s">
        <v>129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159.9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3"/>
        <v>159.9</v>
      </c>
    </row>
    <row r="104" spans="1:18">
      <c r="A104" s="3" t="s">
        <v>24</v>
      </c>
      <c r="B104" s="3" t="s">
        <v>91</v>
      </c>
      <c r="C104" s="3" t="s">
        <v>130</v>
      </c>
      <c r="D104" s="6">
        <v>1.0195</v>
      </c>
      <c r="E104" s="6">
        <v>1074.59997558594</v>
      </c>
      <c r="F104" s="6">
        <v>0</v>
      </c>
      <c r="G104" s="6">
        <v>0</v>
      </c>
      <c r="H104" s="6">
        <v>0</v>
      </c>
      <c r="I104" s="6">
        <v>22826.7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23902.3194755859</v>
      </c>
    </row>
    <row r="105" spans="1:18">
      <c r="A105" s="3" t="s">
        <v>24</v>
      </c>
      <c r="B105" s="3" t="s">
        <v>91</v>
      </c>
      <c r="C105" s="3" t="s">
        <v>131</v>
      </c>
      <c r="D105" s="6">
        <v>1.6484</v>
      </c>
      <c r="E105" s="6">
        <v>0</v>
      </c>
      <c r="F105" s="6">
        <v>0</v>
      </c>
      <c r="G105" s="6">
        <v>0</v>
      </c>
      <c r="H105" s="6">
        <v>0</v>
      </c>
      <c r="I105" s="6">
        <v>528.75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530.3984</v>
      </c>
    </row>
    <row r="106" spans="1:18">
      <c r="A106" s="3" t="s">
        <v>24</v>
      </c>
      <c r="B106" s="3" t="s">
        <v>91</v>
      </c>
      <c r="C106" s="3" t="s">
        <v>132</v>
      </c>
      <c r="D106" s="6">
        <v>0</v>
      </c>
      <c r="E106" s="6">
        <v>216.360000610352</v>
      </c>
      <c r="F106" s="6">
        <v>0</v>
      </c>
      <c r="G106" s="6">
        <v>0</v>
      </c>
      <c r="H106" s="6">
        <v>0</v>
      </c>
      <c r="I106" s="6">
        <v>275.55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491.910000610352</v>
      </c>
    </row>
    <row r="107" spans="1:18">
      <c r="A107" s="3" t="s">
        <v>24</v>
      </c>
      <c r="B107" s="3" t="s">
        <v>91</v>
      </c>
      <c r="C107" s="3" t="s">
        <v>133</v>
      </c>
      <c r="D107" s="6">
        <v>9.3654</v>
      </c>
      <c r="E107" s="6">
        <v>312.480010986328</v>
      </c>
      <c r="F107" s="6">
        <v>0</v>
      </c>
      <c r="G107" s="6">
        <v>0</v>
      </c>
      <c r="H107" s="6">
        <v>0</v>
      </c>
      <c r="I107" s="6">
        <v>7773.15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8094.99541098633</v>
      </c>
    </row>
    <row r="108" spans="1:18">
      <c r="A108" s="3" t="s">
        <v>24</v>
      </c>
      <c r="B108" s="3" t="s">
        <v>91</v>
      </c>
      <c r="C108" s="3" t="s">
        <v>134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0</v>
      </c>
    </row>
    <row r="109" spans="1:18">
      <c r="A109" s="3" t="s">
        <v>24</v>
      </c>
      <c r="B109" s="3" t="s">
        <v>91</v>
      </c>
      <c r="C109" s="3" t="s">
        <v>135</v>
      </c>
      <c r="D109" s="6">
        <v>0</v>
      </c>
      <c r="E109" s="6">
        <v>33.4799995422363</v>
      </c>
      <c r="F109" s="6">
        <v>0</v>
      </c>
      <c r="G109" s="6">
        <v>0</v>
      </c>
      <c r="H109" s="6">
        <v>0</v>
      </c>
      <c r="I109" s="6">
        <v>129.9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163.379999542236</v>
      </c>
    </row>
    <row r="110" spans="1:18">
      <c r="A110" s="3" t="s">
        <v>24</v>
      </c>
      <c r="B110" s="3" t="s">
        <v>91</v>
      </c>
      <c r="C110" s="3" t="s">
        <v>136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0</v>
      </c>
    </row>
    <row r="111" spans="1:18">
      <c r="A111" s="3" t="s">
        <v>24</v>
      </c>
      <c r="B111" s="3" t="s">
        <v>91</v>
      </c>
      <c r="C111" s="3" t="s">
        <v>137</v>
      </c>
      <c r="D111" s="6">
        <v>5.4253</v>
      </c>
      <c r="E111" s="6">
        <v>51.4799995422363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56.9052995422363</v>
      </c>
    </row>
    <row r="112" spans="1:18">
      <c r="A112" s="3" t="s">
        <v>24</v>
      </c>
      <c r="B112" s="3" t="s">
        <v>91</v>
      </c>
      <c r="C112" s="3" t="s">
        <v>138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150.75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150.75</v>
      </c>
    </row>
    <row r="113" spans="1:18">
      <c r="A113" s="3" t="s">
        <v>24</v>
      </c>
      <c r="B113" s="3" t="s">
        <v>91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72.45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72.45</v>
      </c>
    </row>
    <row r="114" spans="1:18">
      <c r="A114" s="3" t="s">
        <v>24</v>
      </c>
      <c r="B114" s="3" t="s">
        <v>91</v>
      </c>
      <c r="C114" s="3" t="s">
        <v>140</v>
      </c>
      <c r="D114" s="6">
        <v>11.5411</v>
      </c>
      <c r="E114" s="6">
        <v>0</v>
      </c>
      <c r="F114" s="6">
        <v>0</v>
      </c>
      <c r="G114" s="6">
        <v>0</v>
      </c>
      <c r="H114" s="6">
        <v>0</v>
      </c>
      <c r="I114" s="6">
        <v>3897.6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3909.1411</v>
      </c>
    </row>
    <row r="115" spans="1:18">
      <c r="A115" s="3" t="s">
        <v>24</v>
      </c>
      <c r="B115" s="3" t="s">
        <v>91</v>
      </c>
      <c r="C115" s="3" t="s">
        <v>141</v>
      </c>
      <c r="D115" s="6">
        <v>23.4191</v>
      </c>
      <c r="E115" s="6">
        <v>46.0800018310547</v>
      </c>
      <c r="F115" s="6">
        <v>0</v>
      </c>
      <c r="G115" s="6">
        <v>0</v>
      </c>
      <c r="H115" s="6">
        <v>0</v>
      </c>
      <c r="I115" s="6">
        <v>136456.2</v>
      </c>
      <c r="J115" s="6">
        <v>92499.546875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229025.245976831</v>
      </c>
    </row>
    <row r="116" spans="1:18">
      <c r="A116" s="3" t="s">
        <v>24</v>
      </c>
      <c r="B116" s="3" t="s">
        <v>91</v>
      </c>
      <c r="C116" s="3" t="s">
        <v>142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91.65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91.65</v>
      </c>
    </row>
    <row r="117" spans="1:18">
      <c r="A117" s="3" t="s">
        <v>24</v>
      </c>
      <c r="B117" s="3" t="s">
        <v>91</v>
      </c>
      <c r="C117" s="3" t="s">
        <v>143</v>
      </c>
      <c r="D117" s="6">
        <v>2.8992</v>
      </c>
      <c r="E117" s="6">
        <v>0</v>
      </c>
      <c r="F117" s="6">
        <v>0</v>
      </c>
      <c r="G117" s="6">
        <v>0</v>
      </c>
      <c r="H117" s="6">
        <v>0</v>
      </c>
      <c r="I117" s="6">
        <v>96.6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99.4992</v>
      </c>
    </row>
    <row r="118" spans="1:18">
      <c r="A118" s="3" t="s">
        <v>24</v>
      </c>
      <c r="B118" s="3" t="s">
        <v>91</v>
      </c>
      <c r="C118" s="3" t="s">
        <v>144</v>
      </c>
      <c r="D118" s="6">
        <v>2.0333</v>
      </c>
      <c r="E118" s="6">
        <v>41.0400009155273</v>
      </c>
      <c r="F118" s="6">
        <v>0</v>
      </c>
      <c r="G118" s="6">
        <v>0</v>
      </c>
      <c r="H118" s="6">
        <v>0</v>
      </c>
      <c r="I118" s="6">
        <v>4948.65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4991.72330091553</v>
      </c>
    </row>
    <row r="119" spans="1:18">
      <c r="A119" s="3" t="s">
        <v>24</v>
      </c>
      <c r="B119" s="3" t="s">
        <v>91</v>
      </c>
      <c r="C119" s="3" t="s">
        <v>145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112.95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112.95</v>
      </c>
    </row>
    <row r="120" spans="1:18">
      <c r="A120" s="3" t="s">
        <v>24</v>
      </c>
      <c r="B120" s="3" t="s">
        <v>91</v>
      </c>
      <c r="C120" s="3" t="s">
        <v>146</v>
      </c>
      <c r="D120" s="6">
        <v>1.245</v>
      </c>
      <c r="E120" s="6">
        <v>0</v>
      </c>
      <c r="F120" s="6">
        <v>0</v>
      </c>
      <c r="G120" s="6">
        <v>0</v>
      </c>
      <c r="H120" s="6">
        <v>0</v>
      </c>
      <c r="I120" s="6">
        <v>22.35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23.595</v>
      </c>
    </row>
    <row r="121" spans="1:18">
      <c r="A121" s="3" t="s">
        <v>24</v>
      </c>
      <c r="B121" s="3" t="s">
        <v>91</v>
      </c>
      <c r="C121" s="3" t="s">
        <v>147</v>
      </c>
      <c r="D121" s="6">
        <v>1.7366</v>
      </c>
      <c r="E121" s="6">
        <v>0</v>
      </c>
      <c r="F121" s="6">
        <v>0</v>
      </c>
      <c r="G121" s="6">
        <v>0</v>
      </c>
      <c r="H121" s="6">
        <v>0</v>
      </c>
      <c r="I121" s="6">
        <v>1.2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2.9366</v>
      </c>
    </row>
    <row r="122" spans="1:18">
      <c r="A122" s="3" t="s">
        <v>24</v>
      </c>
      <c r="B122" s="3" t="s">
        <v>91</v>
      </c>
      <c r="C122" s="3" t="s">
        <v>148</v>
      </c>
      <c r="D122" s="6">
        <v>1.753</v>
      </c>
      <c r="E122" s="6">
        <v>8.64000034332275</v>
      </c>
      <c r="F122" s="6">
        <v>0</v>
      </c>
      <c r="G122" s="6">
        <v>0</v>
      </c>
      <c r="H122" s="6">
        <v>0</v>
      </c>
      <c r="I122" s="6">
        <v>63.75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74.1430003433228</v>
      </c>
    </row>
    <row r="123" spans="1:18">
      <c r="A123" s="3" t="s">
        <v>24</v>
      </c>
      <c r="B123" s="3" t="s">
        <v>91</v>
      </c>
      <c r="C123" s="3" t="s">
        <v>149</v>
      </c>
      <c r="D123" s="6">
        <v>1.9466</v>
      </c>
      <c r="E123" s="6">
        <v>27.3600006103516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29.3066006103516</v>
      </c>
    </row>
    <row r="124" spans="1:18">
      <c r="A124" s="3" t="s">
        <v>24</v>
      </c>
      <c r="B124" s="3" t="s">
        <v>91</v>
      </c>
      <c r="C124" s="3" t="s">
        <v>150</v>
      </c>
      <c r="D124" s="6">
        <v>0</v>
      </c>
      <c r="E124" s="6">
        <v>15.4799995422363</v>
      </c>
      <c r="F124" s="6">
        <v>0</v>
      </c>
      <c r="G124" s="6">
        <v>0</v>
      </c>
      <c r="H124" s="6">
        <v>0</v>
      </c>
      <c r="I124" s="6">
        <v>0.6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16.0799995422363</v>
      </c>
    </row>
    <row r="125" spans="1:18">
      <c r="A125" s="3" t="s">
        <v>24</v>
      </c>
      <c r="B125" s="3" t="s">
        <v>91</v>
      </c>
      <c r="C125" s="3" t="s">
        <v>151</v>
      </c>
      <c r="D125" s="6">
        <v>4.3474</v>
      </c>
      <c r="E125" s="6">
        <v>0</v>
      </c>
      <c r="F125" s="6">
        <v>0</v>
      </c>
      <c r="G125" s="6">
        <v>0</v>
      </c>
      <c r="H125" s="6">
        <v>0</v>
      </c>
      <c r="I125" s="6">
        <v>313.65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317.9974</v>
      </c>
    </row>
    <row r="126" spans="1:18">
      <c r="A126" s="3" t="s">
        <v>24</v>
      </c>
      <c r="B126" s="3" t="s">
        <v>91</v>
      </c>
      <c r="C126" s="3" t="s">
        <v>152</v>
      </c>
      <c r="D126" s="6">
        <v>3.7446</v>
      </c>
      <c r="E126" s="6">
        <v>0</v>
      </c>
      <c r="F126" s="6">
        <v>0</v>
      </c>
      <c r="G126" s="6">
        <v>0</v>
      </c>
      <c r="H126" s="6">
        <v>0</v>
      </c>
      <c r="I126" s="6">
        <v>20644.95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20648.6946</v>
      </c>
    </row>
    <row r="127" spans="1:18">
      <c r="A127" s="3" t="s">
        <v>24</v>
      </c>
      <c r="B127" s="3" t="s">
        <v>91</v>
      </c>
      <c r="C127" s="3" t="s">
        <v>153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119.1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119.1</v>
      </c>
    </row>
    <row r="128" spans="1:18">
      <c r="A128" s="3" t="s">
        <v>24</v>
      </c>
      <c r="B128" s="3" t="s">
        <v>91</v>
      </c>
      <c r="C128" s="3" t="s">
        <v>154</v>
      </c>
      <c r="D128" s="6">
        <v>4.7491</v>
      </c>
      <c r="E128" s="6">
        <v>51.4799995422363</v>
      </c>
      <c r="F128" s="6">
        <v>0</v>
      </c>
      <c r="G128" s="6">
        <v>0</v>
      </c>
      <c r="H128" s="6">
        <v>0</v>
      </c>
      <c r="I128" s="6">
        <v>306.9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363.129099542236</v>
      </c>
    </row>
    <row r="129" spans="1:18">
      <c r="A129" s="3" t="s">
        <v>24</v>
      </c>
      <c r="B129" s="3" t="s">
        <v>91</v>
      </c>
      <c r="C129" s="3" t="s">
        <v>155</v>
      </c>
      <c r="D129" s="6">
        <v>9.5086</v>
      </c>
      <c r="E129" s="6">
        <v>31.6800003051758</v>
      </c>
      <c r="F129" s="6">
        <v>0</v>
      </c>
      <c r="G129" s="6">
        <v>0</v>
      </c>
      <c r="H129" s="6">
        <v>0</v>
      </c>
      <c r="I129" s="6">
        <v>1777.2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1818.38860030518</v>
      </c>
    </row>
    <row r="130" spans="1:18">
      <c r="A130" s="3" t="s">
        <v>24</v>
      </c>
      <c r="B130" s="3" t="s">
        <v>91</v>
      </c>
      <c r="C130" s="3" t="s">
        <v>156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485.7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485.7</v>
      </c>
    </row>
    <row r="131" spans="1:18">
      <c r="A131" s="3" t="s">
        <v>24</v>
      </c>
      <c r="B131" s="3" t="s">
        <v>91</v>
      </c>
      <c r="C131" s="3" t="s">
        <v>157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1360.35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1360.35</v>
      </c>
    </row>
    <row r="132" spans="1:18">
      <c r="A132" s="3" t="s">
        <v>24</v>
      </c>
      <c r="B132" s="3" t="s">
        <v>91</v>
      </c>
      <c r="C132" s="3" t="s">
        <v>158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79.35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79.35</v>
      </c>
    </row>
    <row r="133" spans="1:18">
      <c r="A133" s="3" t="s">
        <v>24</v>
      </c>
      <c r="B133" s="3" t="s">
        <v>91</v>
      </c>
      <c r="C133" s="3" t="s">
        <v>159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123.3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123.3</v>
      </c>
    </row>
    <row r="134" spans="1:18">
      <c r="A134" s="3" t="s">
        <v>24</v>
      </c>
      <c r="B134" s="3" t="s">
        <v>91</v>
      </c>
      <c r="C134" s="3" t="s">
        <v>160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612.45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65" si="4">SUM(D134:Q134)</f>
        <v>612.45</v>
      </c>
    </row>
    <row r="135" spans="1:18">
      <c r="A135" s="3" t="s">
        <v>24</v>
      </c>
      <c r="B135" s="3" t="s">
        <v>91</v>
      </c>
      <c r="C135" s="3" t="s">
        <v>161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347.4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347.4</v>
      </c>
    </row>
    <row r="136" spans="1:18">
      <c r="A136" s="3" t="s">
        <v>24</v>
      </c>
      <c r="B136" s="3" t="s">
        <v>91</v>
      </c>
      <c r="C136" s="3" t="s">
        <v>162</v>
      </c>
      <c r="D136" s="6">
        <v>7.9302</v>
      </c>
      <c r="E136" s="6">
        <v>25.2000007629395</v>
      </c>
      <c r="F136" s="6">
        <v>0</v>
      </c>
      <c r="G136" s="6">
        <v>0</v>
      </c>
      <c r="H136" s="6">
        <v>0</v>
      </c>
      <c r="I136" s="6">
        <v>2006.1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2039.23020076294</v>
      </c>
    </row>
    <row r="137" spans="1:18">
      <c r="A137" s="3" t="s">
        <v>24</v>
      </c>
      <c r="B137" s="3" t="s">
        <v>91</v>
      </c>
      <c r="C137" s="3" t="s">
        <v>163</v>
      </c>
      <c r="D137" s="6">
        <v>0</v>
      </c>
      <c r="E137" s="6">
        <v>69.8399963378906</v>
      </c>
      <c r="F137" s="6">
        <v>0</v>
      </c>
      <c r="G137" s="6">
        <v>0</v>
      </c>
      <c r="H137" s="6">
        <v>0</v>
      </c>
      <c r="I137" s="6">
        <v>217.5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287.339996337891</v>
      </c>
    </row>
    <row r="138" spans="1:18">
      <c r="A138" s="3" t="s">
        <v>24</v>
      </c>
      <c r="B138" s="3" t="s">
        <v>91</v>
      </c>
      <c r="C138" s="3" t="s">
        <v>164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1746.9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1746.9</v>
      </c>
    </row>
    <row r="139" spans="1:18">
      <c r="A139" s="3" t="s">
        <v>24</v>
      </c>
      <c r="B139" s="3" t="s">
        <v>91</v>
      </c>
      <c r="C139" s="3" t="s">
        <v>165</v>
      </c>
      <c r="D139" s="6">
        <v>0</v>
      </c>
      <c r="E139" s="6">
        <v>58.6800003051758</v>
      </c>
      <c r="F139" s="6">
        <v>0</v>
      </c>
      <c r="G139" s="6">
        <v>0</v>
      </c>
      <c r="H139" s="6">
        <v>0</v>
      </c>
      <c r="I139" s="6">
        <v>20538.6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20597.2800003052</v>
      </c>
    </row>
    <row r="140" spans="1:18">
      <c r="A140" s="3" t="s">
        <v>24</v>
      </c>
      <c r="B140" s="3" t="s">
        <v>91</v>
      </c>
      <c r="C140" s="3" t="s">
        <v>166</v>
      </c>
      <c r="D140" s="6">
        <v>6.6875</v>
      </c>
      <c r="E140" s="6">
        <v>65.1600036621094</v>
      </c>
      <c r="F140" s="6">
        <v>0</v>
      </c>
      <c r="G140" s="6">
        <v>0</v>
      </c>
      <c r="H140" s="6">
        <v>0</v>
      </c>
      <c r="I140" s="6">
        <v>4827.6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4899.44750366211</v>
      </c>
    </row>
    <row r="141" spans="1:18">
      <c r="A141" s="3" t="s">
        <v>24</v>
      </c>
      <c r="B141" s="3" t="s">
        <v>91</v>
      </c>
      <c r="C141" s="3" t="s">
        <v>167</v>
      </c>
      <c r="D141" s="6">
        <v>3.1428</v>
      </c>
      <c r="E141" s="6">
        <v>6.84000015258789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9.98280015258789</v>
      </c>
    </row>
    <row r="142" spans="1:18">
      <c r="A142" s="3" t="s">
        <v>24</v>
      </c>
      <c r="B142" s="3" t="s">
        <v>168</v>
      </c>
      <c r="C142" s="3" t="s">
        <v>169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4374.9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4374.9</v>
      </c>
    </row>
    <row r="143" spans="1:18">
      <c r="A143" s="3" t="s">
        <v>24</v>
      </c>
      <c r="B143" s="3" t="s">
        <v>168</v>
      </c>
      <c r="C143" s="3" t="s">
        <v>170</v>
      </c>
      <c r="D143" s="6">
        <v>0</v>
      </c>
      <c r="E143" s="6">
        <v>4923</v>
      </c>
      <c r="F143" s="6">
        <v>0</v>
      </c>
      <c r="G143" s="6">
        <v>0</v>
      </c>
      <c r="H143" s="6">
        <v>0</v>
      </c>
      <c r="I143" s="6">
        <v>29813.4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34736.4</v>
      </c>
    </row>
    <row r="144" spans="1:18">
      <c r="A144" s="3" t="s">
        <v>24</v>
      </c>
      <c r="B144" s="3" t="s">
        <v>168</v>
      </c>
      <c r="C144" s="3" t="s">
        <v>171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680.4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680.4</v>
      </c>
    </row>
    <row r="145" spans="1:18">
      <c r="A145" s="3" t="s">
        <v>24</v>
      </c>
      <c r="B145" s="3" t="s">
        <v>168</v>
      </c>
      <c r="C145" s="3" t="s">
        <v>172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0</v>
      </c>
    </row>
    <row r="146" spans="1:18">
      <c r="A146" s="3" t="s">
        <v>24</v>
      </c>
      <c r="B146" s="3" t="s">
        <v>168</v>
      </c>
      <c r="C146" s="3" t="s">
        <v>173</v>
      </c>
      <c r="D146" s="6">
        <v>0</v>
      </c>
      <c r="E146" s="6">
        <v>11063.16015625</v>
      </c>
      <c r="F146" s="6">
        <v>0</v>
      </c>
      <c r="G146" s="6">
        <v>0</v>
      </c>
      <c r="H146" s="6">
        <v>0</v>
      </c>
      <c r="I146" s="6">
        <v>292436.4</v>
      </c>
      <c r="J146" s="6">
        <v>68493.8984375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371993.45859375</v>
      </c>
    </row>
    <row r="147" spans="1:18">
      <c r="A147" s="3" t="s">
        <v>24</v>
      </c>
      <c r="B147" s="3" t="s">
        <v>168</v>
      </c>
      <c r="C147" s="3" t="s">
        <v>174</v>
      </c>
      <c r="D147" s="6">
        <v>0</v>
      </c>
      <c r="E147" s="6">
        <v>23.7600002288818</v>
      </c>
      <c r="F147" s="6">
        <v>0</v>
      </c>
      <c r="G147" s="6">
        <v>0</v>
      </c>
      <c r="H147" s="6">
        <v>0</v>
      </c>
      <c r="I147" s="6">
        <v>385047.9</v>
      </c>
      <c r="J147" s="6">
        <v>89674.5078125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474746.167812729</v>
      </c>
    </row>
    <row r="148" spans="1:18">
      <c r="A148" s="3" t="s">
        <v>24</v>
      </c>
      <c r="B148" s="3" t="s">
        <v>168</v>
      </c>
      <c r="C148" s="3" t="s">
        <v>175</v>
      </c>
      <c r="D148" s="6">
        <v>0</v>
      </c>
      <c r="E148" s="6">
        <v>34.560001373291</v>
      </c>
      <c r="F148" s="6">
        <v>0</v>
      </c>
      <c r="G148" s="6">
        <v>0</v>
      </c>
      <c r="H148" s="6">
        <v>0</v>
      </c>
      <c r="I148" s="6">
        <v>92820.3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92854.8600013733</v>
      </c>
    </row>
    <row r="149" spans="1:18">
      <c r="A149" s="3" t="s">
        <v>24</v>
      </c>
      <c r="B149" s="3" t="s">
        <v>168</v>
      </c>
      <c r="C149" s="3" t="s">
        <v>176</v>
      </c>
      <c r="D149" s="6">
        <v>0</v>
      </c>
      <c r="E149" s="6">
        <v>13.3199996948242</v>
      </c>
      <c r="F149" s="6">
        <v>0</v>
      </c>
      <c r="G149" s="6">
        <v>0</v>
      </c>
      <c r="H149" s="6">
        <v>0</v>
      </c>
      <c r="I149" s="6">
        <v>4.8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18.1199996948242</v>
      </c>
    </row>
    <row r="150" spans="1:18">
      <c r="A150" s="3" t="s">
        <v>24</v>
      </c>
      <c r="B150" s="3" t="s">
        <v>168</v>
      </c>
      <c r="C150" s="3" t="s">
        <v>177</v>
      </c>
      <c r="D150" s="6">
        <v>0</v>
      </c>
      <c r="E150" s="6">
        <v>32.7599983215332</v>
      </c>
      <c r="F150" s="6">
        <v>0</v>
      </c>
      <c r="G150" s="6">
        <v>0</v>
      </c>
      <c r="H150" s="6">
        <v>0</v>
      </c>
      <c r="I150" s="6">
        <v>779795.1</v>
      </c>
      <c r="J150" s="6">
        <v>244003.75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1023831.60999832</v>
      </c>
    </row>
    <row r="151" spans="1:18">
      <c r="A151" s="3" t="s">
        <v>24</v>
      </c>
      <c r="B151" s="3" t="s">
        <v>168</v>
      </c>
      <c r="C151" s="3" t="s">
        <v>178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318.9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318.9</v>
      </c>
    </row>
    <row r="152" spans="1:18">
      <c r="A152" s="3" t="s">
        <v>24</v>
      </c>
      <c r="B152" s="3" t="s">
        <v>168</v>
      </c>
      <c r="C152" s="3" t="s">
        <v>179</v>
      </c>
      <c r="D152" s="6">
        <v>0</v>
      </c>
      <c r="E152" s="6">
        <v>30.9599990844727</v>
      </c>
      <c r="F152" s="6">
        <v>0</v>
      </c>
      <c r="G152" s="6">
        <v>0</v>
      </c>
      <c r="H152" s="6">
        <v>0</v>
      </c>
      <c r="I152" s="6">
        <v>135536.4</v>
      </c>
      <c r="J152" s="6">
        <v>83791.2578125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219358.617811584</v>
      </c>
    </row>
    <row r="153" spans="1:18">
      <c r="A153" s="3" t="s">
        <v>24</v>
      </c>
      <c r="B153" s="3" t="s">
        <v>168</v>
      </c>
      <c r="C153" s="3" t="s">
        <v>180</v>
      </c>
      <c r="D153" s="6">
        <v>0</v>
      </c>
      <c r="E153" s="6">
        <v>7268.0400390625</v>
      </c>
      <c r="F153" s="6">
        <v>0</v>
      </c>
      <c r="G153" s="6">
        <v>0</v>
      </c>
      <c r="H153" s="6">
        <v>0</v>
      </c>
      <c r="I153" s="6">
        <v>254243.7</v>
      </c>
      <c r="J153" s="6">
        <v>116046.5625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377558.302539063</v>
      </c>
    </row>
    <row r="154" spans="1:18">
      <c r="A154" s="3" t="s">
        <v>24</v>
      </c>
      <c r="B154" s="3" t="s">
        <v>168</v>
      </c>
      <c r="C154" s="3" t="s">
        <v>181</v>
      </c>
      <c r="D154" s="6">
        <v>0</v>
      </c>
      <c r="E154" s="6">
        <v>582.840026855469</v>
      </c>
      <c r="F154" s="6">
        <v>0</v>
      </c>
      <c r="G154" s="6">
        <v>0</v>
      </c>
      <c r="H154" s="6">
        <v>0</v>
      </c>
      <c r="I154" s="6">
        <v>218768.85</v>
      </c>
      <c r="J154" s="6">
        <v>91476.640625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310828.330651855</v>
      </c>
    </row>
    <row r="155" spans="1:18">
      <c r="A155" s="3" t="s">
        <v>24</v>
      </c>
      <c r="B155" s="3" t="s">
        <v>168</v>
      </c>
      <c r="C155" s="3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1302.3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1302.3</v>
      </c>
    </row>
    <row r="156" spans="1:18">
      <c r="A156" s="3" t="s">
        <v>24</v>
      </c>
      <c r="B156" s="3" t="s">
        <v>168</v>
      </c>
      <c r="C156" s="3" t="s">
        <v>183</v>
      </c>
      <c r="D156" s="6">
        <v>0</v>
      </c>
      <c r="E156" s="6">
        <v>81.3600006103516</v>
      </c>
      <c r="F156" s="6">
        <v>0</v>
      </c>
      <c r="G156" s="6">
        <v>0</v>
      </c>
      <c r="H156" s="6">
        <v>0</v>
      </c>
      <c r="I156" s="6">
        <v>126026.7</v>
      </c>
      <c r="J156" s="6">
        <v>231299.859375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357407.91937561</v>
      </c>
    </row>
    <row r="157" spans="1:18">
      <c r="A157" s="3" t="s">
        <v>24</v>
      </c>
      <c r="B157" s="3" t="s">
        <v>168</v>
      </c>
      <c r="C157" s="3" t="s">
        <v>184</v>
      </c>
      <c r="D157" s="6">
        <v>0</v>
      </c>
      <c r="E157" s="6">
        <v>844.559997558594</v>
      </c>
      <c r="F157" s="6">
        <v>0</v>
      </c>
      <c r="G157" s="6">
        <v>0</v>
      </c>
      <c r="H157" s="6">
        <v>0</v>
      </c>
      <c r="I157" s="6">
        <v>91618.95</v>
      </c>
      <c r="J157" s="6">
        <v>84896.640625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177360.150622559</v>
      </c>
    </row>
    <row r="158" spans="1:18">
      <c r="A158" s="3" t="s">
        <v>24</v>
      </c>
      <c r="B158" s="3" t="s">
        <v>168</v>
      </c>
      <c r="C158" s="3" t="s">
        <v>185</v>
      </c>
      <c r="D158" s="6">
        <v>0</v>
      </c>
      <c r="E158" s="6">
        <v>4899.240234375</v>
      </c>
      <c r="F158" s="6">
        <v>0</v>
      </c>
      <c r="G158" s="6">
        <v>0</v>
      </c>
      <c r="H158" s="6">
        <v>0</v>
      </c>
      <c r="I158" s="6">
        <v>479435.85</v>
      </c>
      <c r="J158" s="6">
        <v>122730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607065.090234375</v>
      </c>
    </row>
    <row r="159" spans="1:18">
      <c r="A159" s="3" t="s">
        <v>24</v>
      </c>
      <c r="B159" s="3" t="s">
        <v>168</v>
      </c>
      <c r="C159" s="3" t="s">
        <v>186</v>
      </c>
      <c r="D159" s="6">
        <v>0</v>
      </c>
      <c r="E159" s="6">
        <v>3306.60009765625</v>
      </c>
      <c r="F159" s="6">
        <v>0</v>
      </c>
      <c r="G159" s="6">
        <v>0</v>
      </c>
      <c r="H159" s="6">
        <v>0</v>
      </c>
      <c r="I159" s="6">
        <v>12484.95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15791.5500976563</v>
      </c>
    </row>
    <row r="160" spans="1:18">
      <c r="A160" s="3" t="s">
        <v>24</v>
      </c>
      <c r="B160" s="3" t="s">
        <v>187</v>
      </c>
      <c r="C160" s="3" t="s">
        <v>188</v>
      </c>
      <c r="D160" s="6">
        <v>4.6339</v>
      </c>
      <c r="E160" s="6">
        <v>0</v>
      </c>
      <c r="F160" s="6">
        <v>0</v>
      </c>
      <c r="G160" s="6">
        <v>0</v>
      </c>
      <c r="H160" s="6">
        <v>0</v>
      </c>
      <c r="I160" s="6">
        <v>3.3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7.9339</v>
      </c>
    </row>
    <row r="161" spans="1:18">
      <c r="A161" s="3" t="s">
        <v>24</v>
      </c>
      <c r="B161" s="3" t="s">
        <v>187</v>
      </c>
      <c r="C161" s="3" t="s">
        <v>189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7.5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7.5</v>
      </c>
    </row>
    <row r="162" spans="1:18">
      <c r="A162" s="3" t="s">
        <v>24</v>
      </c>
      <c r="B162" s="3" t="s">
        <v>187</v>
      </c>
      <c r="C162" s="3" t="s">
        <v>190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718.2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718.2</v>
      </c>
    </row>
    <row r="163" spans="1:18">
      <c r="A163" s="3" t="s">
        <v>24</v>
      </c>
      <c r="B163" s="3" t="s">
        <v>187</v>
      </c>
      <c r="C163" s="3" t="s">
        <v>191</v>
      </c>
      <c r="D163" s="6">
        <v>11.7055</v>
      </c>
      <c r="E163" s="6">
        <v>0</v>
      </c>
      <c r="F163" s="6">
        <v>0</v>
      </c>
      <c r="G163" s="6">
        <v>0</v>
      </c>
      <c r="H163" s="6">
        <v>0</v>
      </c>
      <c r="I163" s="6">
        <v>28.2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39.9055</v>
      </c>
    </row>
    <row r="164" spans="1:18">
      <c r="A164" s="3" t="s">
        <v>24</v>
      </c>
      <c r="B164" s="3" t="s">
        <v>187</v>
      </c>
      <c r="C164" s="3" t="s">
        <v>192</v>
      </c>
      <c r="D164" s="6">
        <v>10.2496</v>
      </c>
      <c r="E164" s="6">
        <v>0</v>
      </c>
      <c r="F164" s="6">
        <v>0</v>
      </c>
      <c r="G164" s="6">
        <v>0</v>
      </c>
      <c r="H164" s="6">
        <v>0</v>
      </c>
      <c r="I164" s="6">
        <v>2.4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12.6496</v>
      </c>
    </row>
    <row r="165" spans="1:18">
      <c r="A165" s="3" t="s">
        <v>24</v>
      </c>
      <c r="B165" s="3" t="s">
        <v>187</v>
      </c>
      <c r="C165" s="3" t="s">
        <v>193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40.5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40.5</v>
      </c>
    </row>
    <row r="166" spans="1:18">
      <c r="A166" s="3" t="s">
        <v>24</v>
      </c>
      <c r="B166" s="3" t="s">
        <v>187</v>
      </c>
      <c r="C166" s="3" t="s">
        <v>194</v>
      </c>
      <c r="D166" s="6">
        <v>6.9896</v>
      </c>
      <c r="E166" s="6">
        <v>0</v>
      </c>
      <c r="F166" s="6">
        <v>0</v>
      </c>
      <c r="G166" s="6">
        <v>0</v>
      </c>
      <c r="H166" s="6">
        <v>0</v>
      </c>
      <c r="I166" s="6">
        <v>16.95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ref="R166:R187" si="5">SUM(D166:Q166)</f>
        <v>23.9396</v>
      </c>
    </row>
    <row r="167" spans="1:18">
      <c r="A167" s="3" t="s">
        <v>24</v>
      </c>
      <c r="B167" s="3" t="s">
        <v>187</v>
      </c>
      <c r="C167" s="3" t="s">
        <v>195</v>
      </c>
      <c r="D167" s="6">
        <v>5.7744</v>
      </c>
      <c r="E167" s="6">
        <v>0</v>
      </c>
      <c r="F167" s="6">
        <v>0</v>
      </c>
      <c r="G167" s="6">
        <v>0</v>
      </c>
      <c r="H167" s="6">
        <v>0</v>
      </c>
      <c r="I167" s="6">
        <v>18.75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5"/>
        <v>24.5244</v>
      </c>
    </row>
    <row r="168" spans="1:18">
      <c r="A168" s="3" t="s">
        <v>24</v>
      </c>
      <c r="B168" s="3" t="s">
        <v>187</v>
      </c>
      <c r="C168" s="3" t="s">
        <v>196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53.4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5"/>
        <v>53.4</v>
      </c>
    </row>
    <row r="169" spans="1:18">
      <c r="A169" s="3" t="s">
        <v>24</v>
      </c>
      <c r="B169" s="3" t="s">
        <v>187</v>
      </c>
      <c r="C169" s="3" t="s">
        <v>197</v>
      </c>
      <c r="D169" s="6">
        <v>4.3788</v>
      </c>
      <c r="E169" s="6">
        <v>0</v>
      </c>
      <c r="F169" s="6">
        <v>0</v>
      </c>
      <c r="G169" s="6">
        <v>0</v>
      </c>
      <c r="H169" s="6">
        <v>0</v>
      </c>
      <c r="I169" s="6">
        <v>0.15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5"/>
        <v>4.5288</v>
      </c>
    </row>
    <row r="170" spans="1:18">
      <c r="A170" s="3" t="s">
        <v>24</v>
      </c>
      <c r="B170" s="3" t="s">
        <v>187</v>
      </c>
      <c r="C170" s="3" t="s">
        <v>198</v>
      </c>
      <c r="D170" s="6">
        <v>4.1339</v>
      </c>
      <c r="E170" s="6">
        <v>0</v>
      </c>
      <c r="F170" s="6">
        <v>0</v>
      </c>
      <c r="G170" s="6">
        <v>0</v>
      </c>
      <c r="H170" s="6">
        <v>0</v>
      </c>
      <c r="I170" s="6">
        <v>31.5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5"/>
        <v>35.6339</v>
      </c>
    </row>
    <row r="171" spans="1:18">
      <c r="A171" s="3" t="s">
        <v>24</v>
      </c>
      <c r="B171" s="3" t="s">
        <v>187</v>
      </c>
      <c r="C171" s="3" t="s">
        <v>199</v>
      </c>
      <c r="D171" s="6">
        <v>8.1808</v>
      </c>
      <c r="E171" s="6">
        <v>0</v>
      </c>
      <c r="F171" s="6">
        <v>0</v>
      </c>
      <c r="G171" s="6">
        <v>0</v>
      </c>
      <c r="H171" s="6">
        <v>0</v>
      </c>
      <c r="I171" s="6">
        <v>9.75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5"/>
        <v>17.9308</v>
      </c>
    </row>
    <row r="172" spans="1:18">
      <c r="A172" s="3" t="s">
        <v>24</v>
      </c>
      <c r="B172" s="3" t="s">
        <v>187</v>
      </c>
      <c r="C172" s="3" t="s">
        <v>200</v>
      </c>
      <c r="D172" s="6">
        <v>2.6953</v>
      </c>
      <c r="E172" s="6">
        <v>0</v>
      </c>
      <c r="F172" s="6">
        <v>0</v>
      </c>
      <c r="G172" s="6">
        <v>0</v>
      </c>
      <c r="H172" s="6">
        <v>0</v>
      </c>
      <c r="I172" s="6">
        <v>163.8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166.4953</v>
      </c>
    </row>
    <row r="173" spans="1:18">
      <c r="A173" s="3" t="s">
        <v>24</v>
      </c>
      <c r="B173" s="3" t="s">
        <v>187</v>
      </c>
      <c r="C173" s="3" t="s">
        <v>201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0.45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0.45</v>
      </c>
    </row>
    <row r="174" spans="1:18">
      <c r="A174" s="3" t="s">
        <v>24</v>
      </c>
      <c r="B174" s="3" t="s">
        <v>187</v>
      </c>
      <c r="C174" s="3" t="s">
        <v>202</v>
      </c>
      <c r="D174" s="6">
        <v>6.53</v>
      </c>
      <c r="E174" s="6">
        <v>0</v>
      </c>
      <c r="F174" s="6">
        <v>0</v>
      </c>
      <c r="G174" s="6">
        <v>0</v>
      </c>
      <c r="H174" s="6">
        <v>0</v>
      </c>
      <c r="I174" s="6">
        <v>0.45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6.98</v>
      </c>
    </row>
    <row r="175" spans="1:18">
      <c r="A175" s="3" t="s">
        <v>24</v>
      </c>
      <c r="B175" s="3" t="s">
        <v>187</v>
      </c>
      <c r="C175" s="3" t="s">
        <v>203</v>
      </c>
      <c r="D175" s="6">
        <v>4.1846</v>
      </c>
      <c r="E175" s="6">
        <v>0</v>
      </c>
      <c r="F175" s="6">
        <v>0</v>
      </c>
      <c r="G175" s="6">
        <v>0</v>
      </c>
      <c r="H175" s="6">
        <v>0</v>
      </c>
      <c r="I175" s="6">
        <v>182.1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186.2846</v>
      </c>
    </row>
    <row r="176" spans="1:18">
      <c r="A176" s="3" t="s">
        <v>24</v>
      </c>
      <c r="B176" s="3" t="s">
        <v>187</v>
      </c>
      <c r="C176" s="3" t="s">
        <v>204</v>
      </c>
      <c r="D176" s="6">
        <v>5.3964</v>
      </c>
      <c r="E176" s="6">
        <v>0</v>
      </c>
      <c r="F176" s="6">
        <v>0</v>
      </c>
      <c r="G176" s="6">
        <v>0</v>
      </c>
      <c r="H176" s="6">
        <v>0</v>
      </c>
      <c r="I176" s="6">
        <v>225.45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230.8464</v>
      </c>
    </row>
    <row r="177" spans="1:18">
      <c r="A177" s="3" t="s">
        <v>24</v>
      </c>
      <c r="B177" s="3" t="s">
        <v>187</v>
      </c>
      <c r="C177" s="3" t="s">
        <v>205</v>
      </c>
      <c r="D177" s="6">
        <v>5.1205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5.1205</v>
      </c>
    </row>
    <row r="178" spans="1:18">
      <c r="A178" s="3" t="s">
        <v>24</v>
      </c>
      <c r="B178" s="3" t="s">
        <v>187</v>
      </c>
      <c r="C178" s="3" t="s">
        <v>206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10.65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10.65</v>
      </c>
    </row>
    <row r="179" spans="1:18">
      <c r="A179" s="3" t="s">
        <v>24</v>
      </c>
      <c r="B179" s="3" t="s">
        <v>187</v>
      </c>
      <c r="C179" s="3" t="s">
        <v>207</v>
      </c>
      <c r="D179" s="6">
        <v>10.2888</v>
      </c>
      <c r="E179" s="6">
        <v>0</v>
      </c>
      <c r="F179" s="6">
        <v>0</v>
      </c>
      <c r="G179" s="6">
        <v>0</v>
      </c>
      <c r="H179" s="6">
        <v>0</v>
      </c>
      <c r="I179" s="6">
        <v>28.2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38.4888</v>
      </c>
    </row>
    <row r="180" spans="1:18">
      <c r="A180" s="3" t="s">
        <v>24</v>
      </c>
      <c r="B180" s="3" t="s">
        <v>187</v>
      </c>
      <c r="C180" s="3" t="s">
        <v>208</v>
      </c>
      <c r="D180" s="6">
        <v>1.8925</v>
      </c>
      <c r="E180" s="6">
        <v>0</v>
      </c>
      <c r="F180" s="6">
        <v>0</v>
      </c>
      <c r="G180" s="6">
        <v>0</v>
      </c>
      <c r="H180" s="6">
        <v>0</v>
      </c>
      <c r="I180" s="6">
        <v>31179.45</v>
      </c>
      <c r="J180" s="6">
        <v>3916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35097.3425</v>
      </c>
    </row>
    <row r="181" spans="1:18">
      <c r="A181" s="3" t="s">
        <v>24</v>
      </c>
      <c r="B181" s="3" t="s">
        <v>187</v>
      </c>
      <c r="C181" s="3" t="s">
        <v>209</v>
      </c>
      <c r="D181" s="6">
        <v>0.9234</v>
      </c>
      <c r="E181" s="6">
        <v>0</v>
      </c>
      <c r="F181" s="6">
        <v>0</v>
      </c>
      <c r="G181" s="6">
        <v>0</v>
      </c>
      <c r="H181" s="6">
        <v>0</v>
      </c>
      <c r="I181" s="6">
        <v>4.05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4.9734</v>
      </c>
    </row>
    <row r="182" spans="1:18">
      <c r="A182" s="3" t="s">
        <v>24</v>
      </c>
      <c r="B182" s="3" t="s">
        <v>187</v>
      </c>
      <c r="C182" s="3" t="s">
        <v>210</v>
      </c>
      <c r="D182" s="6">
        <v>16.412</v>
      </c>
      <c r="E182" s="6">
        <v>0</v>
      </c>
      <c r="F182" s="6">
        <v>0</v>
      </c>
      <c r="G182" s="6">
        <v>0</v>
      </c>
      <c r="H182" s="6">
        <v>0</v>
      </c>
      <c r="I182" s="6">
        <v>214.05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230.462</v>
      </c>
    </row>
    <row r="183" spans="1:18">
      <c r="A183" s="3" t="s">
        <v>24</v>
      </c>
      <c r="B183" s="3" t="s">
        <v>187</v>
      </c>
      <c r="C183" s="3" t="s">
        <v>211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0</v>
      </c>
    </row>
    <row r="184" spans="1:18">
      <c r="A184" s="3" t="s">
        <v>24</v>
      </c>
      <c r="B184" s="3" t="s">
        <v>187</v>
      </c>
      <c r="C184" s="3" t="s">
        <v>212</v>
      </c>
      <c r="D184" s="6">
        <v>10.3172</v>
      </c>
      <c r="E184" s="6">
        <v>0</v>
      </c>
      <c r="F184" s="6">
        <v>0</v>
      </c>
      <c r="G184" s="6">
        <v>0</v>
      </c>
      <c r="H184" s="6">
        <v>0</v>
      </c>
      <c r="I184" s="6">
        <v>12.6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5"/>
        <v>22.9172</v>
      </c>
    </row>
    <row r="185" spans="1:18">
      <c r="A185" s="3" t="s">
        <v>24</v>
      </c>
      <c r="B185" s="3" t="s">
        <v>187</v>
      </c>
      <c r="C185" s="3" t="s">
        <v>213</v>
      </c>
      <c r="D185" s="6">
        <v>10.7345</v>
      </c>
      <c r="E185" s="6">
        <v>0</v>
      </c>
      <c r="F185" s="6">
        <v>0</v>
      </c>
      <c r="G185" s="6">
        <v>0</v>
      </c>
      <c r="H185" s="6">
        <v>0</v>
      </c>
      <c r="I185" s="6">
        <v>945.3</v>
      </c>
      <c r="J185" s="6">
        <v>9811.7998046875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5"/>
        <v>10767.8343046875</v>
      </c>
    </row>
    <row r="186" spans="1:18">
      <c r="A186" s="3" t="s">
        <v>24</v>
      </c>
      <c r="B186" s="3" t="s">
        <v>214</v>
      </c>
      <c r="C186" s="3" t="s">
        <v>215</v>
      </c>
      <c r="D186" s="6">
        <v>0</v>
      </c>
      <c r="E186" s="6">
        <v>412796.59375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5"/>
        <v>412796.59375</v>
      </c>
    </row>
    <row r="187" spans="1:18">
      <c r="A187" s="3" t="s">
        <v>24</v>
      </c>
      <c r="B187" s="3" t="s">
        <v>214</v>
      </c>
      <c r="C187" s="3" t="s">
        <v>216</v>
      </c>
      <c r="D187" s="6">
        <v>0</v>
      </c>
      <c r="E187" s="6">
        <v>340405.25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5"/>
        <v>340405.25</v>
      </c>
    </row>
  </sheetData>
  <mergeCells count="1">
    <mergeCell ref="A1:R1"/>
  </mergeCells>
  <pageMargins left="0.699305555555556" right="0.699305555555556" top="0.75" bottom="0.75" header="0.3" footer="0.3"/>
  <pageSetup paperSize="9" orientation="portrait"/>
  <headerFooter/>
  <ignoredErrors>
    <ignoredError sqref="I3:K3 H3 C2 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2025-12-03T06:18:18Z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